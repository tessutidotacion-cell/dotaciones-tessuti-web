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newschooledu-my.sharepoint.com/personal/lisette_olmos_thenewschool_edu_co/Documents/Desktop/"/>
    </mc:Choice>
  </mc:AlternateContent>
  <xr:revisionPtr revIDLastSave="0" documentId="8_{0192AE92-F06B-43C9-878B-2AE144276036}" xr6:coauthVersionLast="47" xr6:coauthVersionMax="47" xr10:uidLastSave="{00000000-0000-0000-0000-000000000000}"/>
  <bookViews>
    <workbookView xWindow="-120" yWindow="-120" windowWidth="20730" windowHeight="11040" xr2:uid="{05CECB74-8C35-4277-9375-DCEEA89EA2A5}"/>
  </bookViews>
  <sheets>
    <sheet name="LICE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9" i="1" l="1"/>
  <c r="C68" i="1"/>
  <c r="C67" i="1"/>
  <c r="C66" i="1"/>
  <c r="C61" i="1"/>
  <c r="C59" i="1"/>
  <c r="C55" i="1"/>
  <c r="C54" i="1"/>
  <c r="C53" i="1"/>
  <c r="C51" i="1"/>
  <c r="C48" i="1"/>
  <c r="C45" i="1"/>
  <c r="C44" i="1"/>
  <c r="C43" i="1"/>
  <c r="C40" i="1"/>
  <c r="C39" i="1"/>
  <c r="C38" i="1"/>
  <c r="C37" i="1"/>
  <c r="C36" i="1"/>
  <c r="C35" i="1"/>
  <c r="C34" i="1"/>
  <c r="C31" i="1"/>
  <c r="C29" i="1"/>
  <c r="C28" i="1"/>
  <c r="C27" i="1"/>
  <c r="C25" i="1"/>
  <c r="C24" i="1"/>
  <c r="C23" i="1"/>
  <c r="C22" i="1"/>
  <c r="C21" i="1"/>
  <c r="C18" i="1"/>
  <c r="C17" i="1"/>
  <c r="C15" i="1"/>
  <c r="C14" i="1"/>
  <c r="C13" i="1"/>
  <c r="C12" i="1"/>
  <c r="C10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<sst xmlns="http://schemas.openxmlformats.org/spreadsheetml/2006/main" count="83" uniqueCount="80">
  <si>
    <t xml:space="preserve">DESCRIPCION </t>
  </si>
  <si>
    <t xml:space="preserve">TALLAS VENTA </t>
  </si>
  <si>
    <t>CANT</t>
  </si>
  <si>
    <t>SUDADERA 2</t>
  </si>
  <si>
    <t>TALLA 2 -8</t>
  </si>
  <si>
    <t>SUDADERA 4</t>
  </si>
  <si>
    <t>SUDADERA 6</t>
  </si>
  <si>
    <t>SUDADERA 8</t>
  </si>
  <si>
    <t>SUDADERA 10</t>
  </si>
  <si>
    <t>SUDADERA 12</t>
  </si>
  <si>
    <t>SUDADERA 14</t>
  </si>
  <si>
    <t>SUDADERA 16</t>
  </si>
  <si>
    <t>SUDADERA S</t>
  </si>
  <si>
    <t>SUDADERA M</t>
  </si>
  <si>
    <t xml:space="preserve">TALLA 16-M </t>
  </si>
  <si>
    <t>CHAQUETA 4</t>
  </si>
  <si>
    <t>CHAQUETA 6</t>
  </si>
  <si>
    <t>CHAQUETA 8</t>
  </si>
  <si>
    <t>CHAQUETA 10</t>
  </si>
  <si>
    <t>TALLAS 2 -14</t>
  </si>
  <si>
    <t>CHAQUETA 12</t>
  </si>
  <si>
    <t>CHAQUETA 14</t>
  </si>
  <si>
    <t>CHAQUETA 16</t>
  </si>
  <si>
    <t xml:space="preserve">TALLAS 16-M </t>
  </si>
  <si>
    <t>CHAQUETA S</t>
  </si>
  <si>
    <t>CHAQUETA M</t>
  </si>
  <si>
    <t>CHAQUETA HS T12</t>
  </si>
  <si>
    <t>CHAQUETA HS T14</t>
  </si>
  <si>
    <t>CHAQUETA HS T16</t>
  </si>
  <si>
    <t>CHAQUETA HS TS</t>
  </si>
  <si>
    <t>CHAQUETA HS TM</t>
  </si>
  <si>
    <t>CHAQUETA HS TL</t>
  </si>
  <si>
    <t>SUDADERA HS T12</t>
  </si>
  <si>
    <t>SUDADERA HS T14</t>
  </si>
  <si>
    <t>SUDADERA HS T16</t>
  </si>
  <si>
    <t>SUDADERA HS TS</t>
  </si>
  <si>
    <t>SUDADERA HS TM</t>
  </si>
  <si>
    <t>POLO 2</t>
  </si>
  <si>
    <t>POLO 4</t>
  </si>
  <si>
    <t>POLO 6</t>
  </si>
  <si>
    <t>POLO 8</t>
  </si>
  <si>
    <t>POLO 10</t>
  </si>
  <si>
    <t>POLO 12</t>
  </si>
  <si>
    <t>TALLAS 2 - 14</t>
  </si>
  <si>
    <t>POLO 14</t>
  </si>
  <si>
    <t>POLO 16</t>
  </si>
  <si>
    <t>POLO S</t>
  </si>
  <si>
    <t>POLO M</t>
  </si>
  <si>
    <t>CHALECO 2</t>
  </si>
  <si>
    <t>CHALECO 4</t>
  </si>
  <si>
    <t>CHALECO 6</t>
  </si>
  <si>
    <t>CHALECO 8</t>
  </si>
  <si>
    <t>CHALECO 10</t>
  </si>
  <si>
    <t>CHALECO 12</t>
  </si>
  <si>
    <t>CHALECO 14</t>
  </si>
  <si>
    <t>CHALECO 16</t>
  </si>
  <si>
    <t>CHALECO S</t>
  </si>
  <si>
    <t>BATA DE LABORATORIO</t>
  </si>
  <si>
    <t>UNA DE MUESTRA</t>
  </si>
  <si>
    <t>CAMISETA T12 EDU FISICA</t>
  </si>
  <si>
    <t>CAMISETA T14  EDU FISICA</t>
  </si>
  <si>
    <t>CAMISETA T16 EDU FISICA</t>
  </si>
  <si>
    <t>CAMISETA TS EDU FISICA</t>
  </si>
  <si>
    <t>CAMISETA TM EDU FISICA</t>
  </si>
  <si>
    <t>CAMISETA TL EDU FISICA</t>
  </si>
  <si>
    <t>JOGGER T12 EDU FISICA</t>
  </si>
  <si>
    <t>JOGGER T14 EDU FISICA</t>
  </si>
  <si>
    <t>JOGGER T16 EDU FISICA</t>
  </si>
  <si>
    <t>JOGGER TS EDU FISICA</t>
  </si>
  <si>
    <t>JOGGER TM  EDU FISICA</t>
  </si>
  <si>
    <t>DELANTAL 2</t>
  </si>
  <si>
    <t xml:space="preserve">SIN IVA </t>
  </si>
  <si>
    <t>DELANTAL 4</t>
  </si>
  <si>
    <t>DELANTAL 6</t>
  </si>
  <si>
    <t>DELANTAL 8</t>
  </si>
  <si>
    <t>CAMIBUZOS X 2 T2- 4</t>
  </si>
  <si>
    <t>CAMIBUZOS  T6-8</t>
  </si>
  <si>
    <t>CAMIBUZOS T10</t>
  </si>
  <si>
    <t>CAMIBUZOS</t>
  </si>
  <si>
    <t xml:space="preserve">CAMIBUZOS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</si>
</sst>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9" tint="0.7999816888943144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6FA8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/>
    <xf numFmtId="17" fontId="1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3" fontId="0" fillId="0" borderId="0" xfId="0" applyNumberFormat="1"/>
    <xf numFmtId="17" fontId="0" fillId="3" borderId="1" xfId="0" applyNumberFormat="1" applyFill="1" applyBorder="1"/>
    <xf numFmtId="0" fontId="1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3" fillId="3" borderId="2" xfId="0" applyFont="1" applyFill="1" applyBorder="1" applyAlignment="1">
      <alignment horizontal="center"/>
    </xf>
    <xf numFmtId="0" fontId="0" fillId="4" borderId="3" xfId="0" applyFill="1" applyBorder="1"/>
    <xf numFmtId="0" fontId="3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3" fillId="4" borderId="2" xfId="0" applyFont="1" applyFill="1" applyBorder="1" applyAlignment="1">
      <alignment horizontal="center"/>
    </xf>
    <xf numFmtId="0" fontId="0" fillId="0" borderId="4" xfId="0" applyBorder="1"/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0" fontId="3" fillId="0" borderId="6" xfId="0" applyFont="1" applyBorder="1" applyAlignment="1">
      <alignment horizontal="center"/>
    </xf>
    <xf numFmtId="0" fontId="0" fillId="5" borderId="3" xfId="0" applyFill="1" applyBorder="1"/>
    <xf numFmtId="0" fontId="3" fillId="5" borderId="3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0" fontId="3" fillId="7" borderId="7" xfId="0" applyFont="1" applyFill="1" applyBorder="1"/>
    <xf numFmtId="0" fontId="3" fillId="7" borderId="7" xfId="0" applyFont="1" applyFill="1" applyBorder="1" applyAlignment="1">
      <alignment horizontal="center"/>
    </xf>
    <xf numFmtId="0" fontId="1" fillId="8" borderId="3" xfId="0" applyFont="1" applyFill="1" applyBorder="1"/>
    <xf numFmtId="0" fontId="1" fillId="8" borderId="3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8" xfId="0" applyFont="1" applyFill="1" applyBorder="1"/>
    <xf numFmtId="0" fontId="1" fillId="8" borderId="1" xfId="0" applyFont="1" applyFill="1" applyBorder="1" applyAlignment="1">
      <alignment horizontal="center"/>
    </xf>
    <xf numFmtId="0" fontId="1" fillId="8" borderId="5" xfId="0" applyFont="1" applyFill="1" applyBorder="1"/>
    <xf numFmtId="0" fontId="1" fillId="8" borderId="5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0" fillId="9" borderId="9" xfId="0" applyFill="1" applyBorder="1"/>
    <xf numFmtId="0" fontId="0" fillId="9" borderId="9" xfId="0" applyFill="1" applyBorder="1" applyAlignment="1">
      <alignment horizontal="center"/>
    </xf>
    <xf numFmtId="0" fontId="4" fillId="0" borderId="0" xfId="0" applyFont="1" applyAlignment="1">
      <alignment textRotation="45"/>
    </xf>
    <xf numFmtId="0" fontId="0" fillId="9" borderId="4" xfId="0" applyFill="1" applyBorder="1"/>
    <xf numFmtId="0" fontId="0" fillId="9" borderId="4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9" borderId="2" xfId="0" applyFill="1" applyBorder="1"/>
    <xf numFmtId="0" fontId="0" fillId="9" borderId="2" xfId="0" applyFill="1" applyBorder="1" applyAlignment="1">
      <alignment horizontal="center"/>
    </xf>
    <xf numFmtId="0" fontId="0" fillId="10" borderId="3" xfId="0" applyFill="1" applyBorder="1"/>
    <xf numFmtId="0" fontId="0" fillId="10" borderId="3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6268-857D-43EE-93B6-1D4F3D05FB05}">
  <dimension ref="A1:E81"/>
  <sheetViews>
    <sheetView tabSelected="1" workbookViewId="0">
      <pane ySplit="1" topLeftCell="A2" activePane="bottomLeft" state="frozen"/>
      <selection pane="bottomLeft" activeCell="E74" sqref="E74"/>
    </sheetView>
  </sheetViews>
  <sheetFormatPr baseColWidth="10" defaultRowHeight="15" x14ac:dyDescent="0.25"/>
  <cols>
    <col min="1" max="1" width="17.5703125" bestFit="1" customWidth="1"/>
    <col min="2" max="2" width="22.7109375" hidden="1" customWidth="1"/>
    <col min="3" max="3" width="6.5703125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E1" s="2"/>
    </row>
    <row r="2" spans="1:5" ht="18" customHeight="1" x14ac:dyDescent="0.25">
      <c r="A2" s="3" t="s">
        <v>3</v>
      </c>
      <c r="B2" s="4" t="s">
        <v>4</v>
      </c>
      <c r="C2" s="5">
        <v>10</v>
      </c>
      <c r="E2" s="6"/>
    </row>
    <row r="3" spans="1:5" x14ac:dyDescent="0.25">
      <c r="A3" s="3" t="s">
        <v>5</v>
      </c>
      <c r="B3" s="4"/>
      <c r="C3" s="5">
        <f>29-1-2-1+10</f>
        <v>35</v>
      </c>
      <c r="E3" s="6"/>
    </row>
    <row r="4" spans="1:5" x14ac:dyDescent="0.25">
      <c r="A4" s="3" t="s">
        <v>6</v>
      </c>
      <c r="B4" s="7"/>
      <c r="C4" s="5">
        <f>31-6-2+10</f>
        <v>33</v>
      </c>
      <c r="E4" s="6"/>
    </row>
    <row r="5" spans="1:5" x14ac:dyDescent="0.25">
      <c r="A5" s="3" t="s">
        <v>7</v>
      </c>
      <c r="B5" s="7"/>
      <c r="C5" s="5">
        <f>4+20-2-1-2-2-1-3+20</f>
        <v>33</v>
      </c>
      <c r="E5" s="6"/>
    </row>
    <row r="6" spans="1:5" x14ac:dyDescent="0.25">
      <c r="A6" s="3" t="s">
        <v>8</v>
      </c>
      <c r="B6" s="4"/>
      <c r="C6" s="5">
        <f>20-1-4-1-2-2+2-1-4-2-1-1-2+20-4</f>
        <v>17</v>
      </c>
      <c r="E6" s="6"/>
    </row>
    <row r="7" spans="1:5" x14ac:dyDescent="0.25">
      <c r="A7" s="3" t="s">
        <v>9</v>
      </c>
      <c r="B7" s="7"/>
      <c r="C7" s="5">
        <f>21-3+10-1-1-1-2-2+20</f>
        <v>41</v>
      </c>
      <c r="E7" s="6"/>
    </row>
    <row r="8" spans="1:5" x14ac:dyDescent="0.25">
      <c r="A8" s="3" t="s">
        <v>10</v>
      </c>
      <c r="B8" s="4"/>
      <c r="C8" s="5">
        <f>16+5-1-1-1-1-2-2+1-2+2-1-2-1+10-3</f>
        <v>17</v>
      </c>
      <c r="E8" s="6"/>
    </row>
    <row r="9" spans="1:5" x14ac:dyDescent="0.25">
      <c r="A9" s="3" t="s">
        <v>11</v>
      </c>
      <c r="B9" s="7"/>
      <c r="C9" s="5">
        <v>10</v>
      </c>
      <c r="E9" s="6"/>
    </row>
    <row r="10" spans="1:5" x14ac:dyDescent="0.25">
      <c r="A10" s="3" t="s">
        <v>12</v>
      </c>
      <c r="B10" s="9"/>
      <c r="C10" s="5">
        <f>35-2</f>
        <v>33</v>
      </c>
      <c r="E10" s="6"/>
    </row>
    <row r="11" spans="1:5" ht="15.75" thickBot="1" x14ac:dyDescent="0.3">
      <c r="A11" s="10" t="s">
        <v>13</v>
      </c>
      <c r="B11" s="11" t="s">
        <v>14</v>
      </c>
      <c r="C11" s="12">
        <v>28</v>
      </c>
      <c r="E11" s="6"/>
    </row>
    <row r="12" spans="1:5" x14ac:dyDescent="0.25">
      <c r="A12" s="13" t="s">
        <v>15</v>
      </c>
      <c r="B12" s="13"/>
      <c r="C12" s="14">
        <f>35-1</f>
        <v>34</v>
      </c>
      <c r="E12" s="6"/>
    </row>
    <row r="13" spans="1:5" x14ac:dyDescent="0.25">
      <c r="A13" s="15" t="s">
        <v>16</v>
      </c>
      <c r="B13" s="15"/>
      <c r="C13" s="14">
        <f>27-1</f>
        <v>26</v>
      </c>
      <c r="E13" s="6"/>
    </row>
    <row r="14" spans="1:5" x14ac:dyDescent="0.25">
      <c r="A14" s="15" t="s">
        <v>17</v>
      </c>
      <c r="B14" s="15"/>
      <c r="C14" s="14">
        <f>29-1-2-1+1</f>
        <v>26</v>
      </c>
      <c r="E14" s="6"/>
    </row>
    <row r="15" spans="1:5" x14ac:dyDescent="0.25">
      <c r="A15" s="15" t="s">
        <v>18</v>
      </c>
      <c r="B15" s="15" t="s">
        <v>19</v>
      </c>
      <c r="C15" s="14">
        <f>17-1-1-2+2-1-1-1</f>
        <v>12</v>
      </c>
      <c r="E15" s="6"/>
    </row>
    <row r="16" spans="1:5" x14ac:dyDescent="0.25">
      <c r="A16" s="15" t="s">
        <v>20</v>
      </c>
      <c r="B16" s="15"/>
      <c r="C16" s="14">
        <v>0</v>
      </c>
      <c r="E16" s="6"/>
    </row>
    <row r="17" spans="1:5" x14ac:dyDescent="0.25">
      <c r="A17" s="15" t="s">
        <v>21</v>
      </c>
      <c r="B17" s="15"/>
      <c r="C17" s="14">
        <f>29-1-1-1+1+1+1</f>
        <v>29</v>
      </c>
      <c r="E17" s="6"/>
    </row>
    <row r="18" spans="1:5" ht="15.75" thickBot="1" x14ac:dyDescent="0.3">
      <c r="A18" s="15" t="s">
        <v>22</v>
      </c>
      <c r="B18" s="15" t="s">
        <v>23</v>
      </c>
      <c r="C18" s="14">
        <f>16-1-1-1+1-1-1-1-1</f>
        <v>10</v>
      </c>
      <c r="E18" s="6"/>
    </row>
    <row r="19" spans="1:5" ht="15.75" hidden="1" thickBot="1" x14ac:dyDescent="0.3">
      <c r="A19" s="15" t="s">
        <v>24</v>
      </c>
      <c r="B19" s="15"/>
      <c r="C19" s="14">
        <v>0</v>
      </c>
      <c r="E19" s="6"/>
    </row>
    <row r="20" spans="1:5" ht="15.75" hidden="1" thickBot="1" x14ac:dyDescent="0.3">
      <c r="A20" s="16" t="s">
        <v>25</v>
      </c>
      <c r="B20" s="16"/>
      <c r="C20" s="17">
        <v>0</v>
      </c>
      <c r="E20" s="6"/>
    </row>
    <row r="21" spans="1:5" x14ac:dyDescent="0.25">
      <c r="A21" s="18" t="s">
        <v>26</v>
      </c>
      <c r="B21" s="18"/>
      <c r="C21" s="19">
        <f>15-1</f>
        <v>14</v>
      </c>
      <c r="E21" s="6"/>
    </row>
    <row r="22" spans="1:5" x14ac:dyDescent="0.25">
      <c r="A22" s="20" t="s">
        <v>27</v>
      </c>
      <c r="B22" s="20"/>
      <c r="C22" s="21">
        <f>20-2-1</f>
        <v>17</v>
      </c>
      <c r="E22" s="6"/>
    </row>
    <row r="23" spans="1:5" x14ac:dyDescent="0.25">
      <c r="A23" s="20" t="s">
        <v>28</v>
      </c>
      <c r="B23" s="20"/>
      <c r="C23" s="21">
        <f>13-1-1-2-1</f>
        <v>8</v>
      </c>
      <c r="E23" s="6"/>
    </row>
    <row r="24" spans="1:5" x14ac:dyDescent="0.25">
      <c r="A24" s="20" t="s">
        <v>29</v>
      </c>
      <c r="B24" s="20"/>
      <c r="C24" s="21">
        <f>15-1-1</f>
        <v>13</v>
      </c>
      <c r="E24" s="6"/>
    </row>
    <row r="25" spans="1:5" x14ac:dyDescent="0.25">
      <c r="A25" s="20" t="s">
        <v>30</v>
      </c>
      <c r="B25" s="20"/>
      <c r="C25" s="21">
        <f>12-1-1</f>
        <v>10</v>
      </c>
      <c r="E25" s="6"/>
    </row>
    <row r="26" spans="1:5" ht="15.75" thickBot="1" x14ac:dyDescent="0.3">
      <c r="A26" s="22" t="s">
        <v>31</v>
      </c>
      <c r="B26" s="22"/>
      <c r="C26" s="23">
        <v>5</v>
      </c>
      <c r="E26" s="6"/>
    </row>
    <row r="27" spans="1:5" x14ac:dyDescent="0.25">
      <c r="A27" s="18" t="s">
        <v>32</v>
      </c>
      <c r="B27" s="18"/>
      <c r="C27" s="21">
        <f>14-1-4+5+3-2-1</f>
        <v>14</v>
      </c>
      <c r="E27" s="6"/>
    </row>
    <row r="28" spans="1:5" x14ac:dyDescent="0.25">
      <c r="A28" s="24" t="s">
        <v>33</v>
      </c>
      <c r="B28" s="24"/>
      <c r="C28" s="21">
        <f>9-2-4+4-2-3+25-1</f>
        <v>26</v>
      </c>
      <c r="E28" s="6"/>
    </row>
    <row r="29" spans="1:5" x14ac:dyDescent="0.25">
      <c r="A29" s="24" t="s">
        <v>34</v>
      </c>
      <c r="B29" s="24"/>
      <c r="C29" s="21">
        <f>61-3</f>
        <v>58</v>
      </c>
      <c r="E29" s="6"/>
    </row>
    <row r="30" spans="1:5" x14ac:dyDescent="0.25">
      <c r="A30" s="24" t="s">
        <v>35</v>
      </c>
      <c r="B30" s="24"/>
      <c r="C30" s="21">
        <v>27</v>
      </c>
      <c r="E30" s="6"/>
    </row>
    <row r="31" spans="1:5" ht="15.75" thickBot="1" x14ac:dyDescent="0.3">
      <c r="A31" s="25" t="s">
        <v>36</v>
      </c>
      <c r="B31" s="25"/>
      <c r="C31" s="26">
        <f>28-1</f>
        <v>27</v>
      </c>
      <c r="E31" s="6"/>
    </row>
    <row r="32" spans="1:5" ht="15.75" hidden="1" thickTop="1" x14ac:dyDescent="0.25">
      <c r="A32" s="27" t="s">
        <v>37</v>
      </c>
      <c r="B32" s="27"/>
      <c r="C32" s="28">
        <v>0</v>
      </c>
      <c r="E32" s="6"/>
    </row>
    <row r="33" spans="1:5" ht="15.75" thickTop="1" x14ac:dyDescent="0.25">
      <c r="A33" s="29" t="s">
        <v>38</v>
      </c>
      <c r="B33" s="29"/>
      <c r="C33" s="30">
        <v>64</v>
      </c>
      <c r="E33" s="6"/>
    </row>
    <row r="34" spans="1:5" x14ac:dyDescent="0.25">
      <c r="A34" s="29" t="s">
        <v>39</v>
      </c>
      <c r="B34" s="29"/>
      <c r="C34" s="30">
        <f>64-2-2</f>
        <v>60</v>
      </c>
      <c r="E34" s="6"/>
    </row>
    <row r="35" spans="1:5" x14ac:dyDescent="0.25">
      <c r="A35" s="29" t="s">
        <v>40</v>
      </c>
      <c r="B35" s="29"/>
      <c r="C35" s="30">
        <f>33-4-2-3-2</f>
        <v>22</v>
      </c>
      <c r="E35" s="6"/>
    </row>
    <row r="36" spans="1:5" x14ac:dyDescent="0.25">
      <c r="A36" s="29" t="s">
        <v>41</v>
      </c>
      <c r="B36" s="29"/>
      <c r="C36" s="30">
        <f>38-2-2-4-2-3</f>
        <v>25</v>
      </c>
      <c r="E36" s="6"/>
    </row>
    <row r="37" spans="1:5" x14ac:dyDescent="0.25">
      <c r="A37" s="29" t="s">
        <v>42</v>
      </c>
      <c r="B37" s="29" t="s">
        <v>43</v>
      </c>
      <c r="C37" s="30">
        <f>22-3-2-1-2-2-2-2-3</f>
        <v>5</v>
      </c>
      <c r="E37" s="6"/>
    </row>
    <row r="38" spans="1:5" x14ac:dyDescent="0.25">
      <c r="A38" s="29" t="s">
        <v>44</v>
      </c>
      <c r="B38" s="29"/>
      <c r="C38" s="30">
        <f>53-4-4+3-1-2-2-1</f>
        <v>42</v>
      </c>
      <c r="E38" s="6"/>
    </row>
    <row r="39" spans="1:5" x14ac:dyDescent="0.25">
      <c r="A39" s="29" t="s">
        <v>45</v>
      </c>
      <c r="B39" s="29"/>
      <c r="C39" s="30">
        <f>49-3-1-3-2-2-2-2-1-2-2</f>
        <v>29</v>
      </c>
      <c r="E39" s="6"/>
    </row>
    <row r="40" spans="1:5" x14ac:dyDescent="0.25">
      <c r="A40" s="29" t="s">
        <v>46</v>
      </c>
      <c r="B40" s="29"/>
      <c r="C40" s="30">
        <f>47-2-1-1</f>
        <v>43</v>
      </c>
      <c r="E40" s="6"/>
    </row>
    <row r="41" spans="1:5" ht="15.75" thickBot="1" x14ac:dyDescent="0.3">
      <c r="A41" s="31" t="s">
        <v>47</v>
      </c>
      <c r="B41" s="31"/>
      <c r="C41" s="32">
        <v>40</v>
      </c>
      <c r="E41" s="6"/>
    </row>
    <row r="42" spans="1:5" hidden="1" x14ac:dyDescent="0.25">
      <c r="A42" s="33" t="s">
        <v>48</v>
      </c>
      <c r="B42" s="33" t="s">
        <v>14</v>
      </c>
      <c r="C42" s="34">
        <v>0</v>
      </c>
      <c r="E42" s="6"/>
    </row>
    <row r="43" spans="1:5" x14ac:dyDescent="0.25">
      <c r="A43" s="35" t="s">
        <v>49</v>
      </c>
      <c r="B43" s="35"/>
      <c r="C43" s="36">
        <f>16-1</f>
        <v>15</v>
      </c>
      <c r="E43" s="6"/>
    </row>
    <row r="44" spans="1:5" x14ac:dyDescent="0.25">
      <c r="A44" s="35" t="s">
        <v>50</v>
      </c>
      <c r="B44" s="35"/>
      <c r="C44" s="36">
        <f>14-6</f>
        <v>8</v>
      </c>
      <c r="E44" s="6"/>
    </row>
    <row r="45" spans="1:5" x14ac:dyDescent="0.25">
      <c r="A45" s="35" t="s">
        <v>51</v>
      </c>
      <c r="B45" s="35"/>
      <c r="C45" s="36">
        <f>11-1</f>
        <v>10</v>
      </c>
      <c r="E45" s="6"/>
    </row>
    <row r="46" spans="1:5" x14ac:dyDescent="0.25">
      <c r="A46" s="35" t="s">
        <v>52</v>
      </c>
      <c r="B46" s="35"/>
      <c r="C46" s="36">
        <v>3</v>
      </c>
      <c r="E46" s="6"/>
    </row>
    <row r="47" spans="1:5" hidden="1" x14ac:dyDescent="0.25">
      <c r="A47" s="35" t="s">
        <v>53</v>
      </c>
      <c r="B47" s="35"/>
      <c r="C47" s="36">
        <v>0</v>
      </c>
      <c r="E47" s="6"/>
    </row>
    <row r="48" spans="1:5" ht="15.75" thickBot="1" x14ac:dyDescent="0.3">
      <c r="A48" s="35" t="s">
        <v>54</v>
      </c>
      <c r="B48" s="35"/>
      <c r="C48" s="36">
        <f>2-1</f>
        <v>1</v>
      </c>
      <c r="E48" s="6"/>
    </row>
    <row r="49" spans="1:5" ht="15.75" hidden="1" thickBot="1" x14ac:dyDescent="0.3">
      <c r="A49" s="35" t="s">
        <v>55</v>
      </c>
      <c r="B49" s="35"/>
      <c r="C49" s="36">
        <v>0</v>
      </c>
      <c r="E49" s="6"/>
    </row>
    <row r="50" spans="1:5" ht="15.75" hidden="1" thickBot="1" x14ac:dyDescent="0.3">
      <c r="A50" s="37" t="s">
        <v>56</v>
      </c>
      <c r="B50" s="37"/>
      <c r="C50" s="38">
        <v>0</v>
      </c>
      <c r="E50" s="6"/>
    </row>
    <row r="51" spans="1:5" ht="15.75" thickBot="1" x14ac:dyDescent="0.3">
      <c r="A51" s="39" t="s">
        <v>57</v>
      </c>
      <c r="B51" s="39"/>
      <c r="C51" s="40">
        <f>1+50</f>
        <v>51</v>
      </c>
      <c r="D51" t="s">
        <v>58</v>
      </c>
      <c r="E51" s="6"/>
    </row>
    <row r="52" spans="1:5" x14ac:dyDescent="0.25">
      <c r="A52" s="41" t="s">
        <v>59</v>
      </c>
      <c r="B52" s="41"/>
      <c r="C52" s="42">
        <v>20</v>
      </c>
      <c r="E52" s="6"/>
    </row>
    <row r="53" spans="1:5" x14ac:dyDescent="0.25">
      <c r="A53" s="43" t="s">
        <v>60</v>
      </c>
      <c r="B53" s="44"/>
      <c r="C53" s="45">
        <f>92-2-1-1-2-1-1-1-1</f>
        <v>82</v>
      </c>
      <c r="E53" s="6"/>
    </row>
    <row r="54" spans="1:5" x14ac:dyDescent="0.25">
      <c r="A54" s="43" t="s">
        <v>61</v>
      </c>
      <c r="B54" s="44"/>
      <c r="C54" s="45">
        <f>110-1-1</f>
        <v>108</v>
      </c>
      <c r="E54" s="6"/>
    </row>
    <row r="55" spans="1:5" x14ac:dyDescent="0.25">
      <c r="A55" s="43" t="s">
        <v>62</v>
      </c>
      <c r="B55" s="44"/>
      <c r="C55" s="45">
        <f>20-1-1+10-1</f>
        <v>27</v>
      </c>
      <c r="E55" s="6"/>
    </row>
    <row r="56" spans="1:5" x14ac:dyDescent="0.25">
      <c r="A56" s="43" t="s">
        <v>63</v>
      </c>
      <c r="B56" s="44"/>
      <c r="C56" s="45">
        <v>22</v>
      </c>
      <c r="E56" s="6"/>
    </row>
    <row r="57" spans="1:5" ht="15.75" thickBot="1" x14ac:dyDescent="0.3">
      <c r="A57" s="46" t="s">
        <v>64</v>
      </c>
      <c r="B57" s="46"/>
      <c r="C57" s="47">
        <v>5</v>
      </c>
      <c r="E57" s="6"/>
    </row>
    <row r="58" spans="1:5" x14ac:dyDescent="0.25">
      <c r="A58" s="41" t="s">
        <v>65</v>
      </c>
      <c r="B58" s="41"/>
      <c r="C58" s="42">
        <v>0</v>
      </c>
      <c r="E58" s="6"/>
    </row>
    <row r="59" spans="1:5" x14ac:dyDescent="0.25">
      <c r="A59" s="43" t="s">
        <v>66</v>
      </c>
      <c r="B59" s="44"/>
      <c r="C59" s="45">
        <f>77-1-1</f>
        <v>75</v>
      </c>
      <c r="E59" s="6"/>
    </row>
    <row r="60" spans="1:5" x14ac:dyDescent="0.25">
      <c r="A60" s="43" t="s">
        <v>67</v>
      </c>
      <c r="B60" s="44"/>
      <c r="C60" s="45">
        <v>110</v>
      </c>
      <c r="E60" s="6"/>
    </row>
    <row r="61" spans="1:5" x14ac:dyDescent="0.25">
      <c r="A61" s="43" t="s">
        <v>68</v>
      </c>
      <c r="B61" s="44"/>
      <c r="C61" s="45">
        <f>23-1</f>
        <v>22</v>
      </c>
      <c r="E61" s="6"/>
    </row>
    <row r="62" spans="1:5" ht="15.75" thickBot="1" x14ac:dyDescent="0.3">
      <c r="A62" s="44" t="s">
        <v>69</v>
      </c>
      <c r="B62" s="44"/>
      <c r="C62" s="48">
        <v>0</v>
      </c>
      <c r="E62" s="6"/>
    </row>
    <row r="63" spans="1:5" ht="15" hidden="1" customHeight="1" x14ac:dyDescent="0.25">
      <c r="A63" s="49" t="s">
        <v>70</v>
      </c>
      <c r="B63" s="49" t="s">
        <v>71</v>
      </c>
      <c r="C63" s="50">
        <v>0</v>
      </c>
      <c r="D63" s="51"/>
      <c r="E63" s="6"/>
    </row>
    <row r="64" spans="1:5" x14ac:dyDescent="0.25">
      <c r="A64" s="52" t="s">
        <v>72</v>
      </c>
      <c r="B64" s="52"/>
      <c r="C64" s="53">
        <v>14</v>
      </c>
      <c r="D64" s="51"/>
      <c r="E64" s="6"/>
    </row>
    <row r="65" spans="1:5" x14ac:dyDescent="0.25">
      <c r="A65" s="54" t="s">
        <v>73</v>
      </c>
      <c r="B65" s="54"/>
      <c r="C65" s="55">
        <v>20</v>
      </c>
      <c r="D65" s="51"/>
      <c r="E65" s="6"/>
    </row>
    <row r="66" spans="1:5" ht="15.75" thickBot="1" x14ac:dyDescent="0.3">
      <c r="A66" s="56" t="s">
        <v>74</v>
      </c>
      <c r="B66" s="56"/>
      <c r="C66" s="57">
        <f>17-1</f>
        <v>16</v>
      </c>
      <c r="D66" s="51"/>
      <c r="E66" s="6"/>
    </row>
    <row r="67" spans="1:5" ht="15" customHeight="1" x14ac:dyDescent="0.25">
      <c r="A67" s="58" t="s">
        <v>75</v>
      </c>
      <c r="B67" s="58"/>
      <c r="C67" s="59">
        <f>39-1-2-2-2-2-2</f>
        <v>28</v>
      </c>
      <c r="D67" s="51"/>
      <c r="E67" s="6"/>
    </row>
    <row r="68" spans="1:5" x14ac:dyDescent="0.25">
      <c r="A68" s="60" t="s">
        <v>76</v>
      </c>
      <c r="B68" s="60"/>
      <c r="C68" s="61">
        <f>42-2-3-1</f>
        <v>36</v>
      </c>
      <c r="D68" s="51"/>
      <c r="E68" s="6"/>
    </row>
    <row r="69" spans="1:5" x14ac:dyDescent="0.25">
      <c r="A69" s="60" t="s">
        <v>77</v>
      </c>
      <c r="B69" s="60" t="s">
        <v>71</v>
      </c>
      <c r="C69" s="61">
        <f>6-2-3</f>
        <v>1</v>
      </c>
      <c r="D69" s="51"/>
      <c r="E69" s="6"/>
    </row>
    <row r="70" spans="1:5" ht="15.75" hidden="1" thickBot="1" x14ac:dyDescent="0.3">
      <c r="A70" s="60" t="s">
        <v>78</v>
      </c>
      <c r="B70" s="60" t="s">
        <v>71</v>
      </c>
      <c r="C70" s="61"/>
      <c r="D70" s="51"/>
      <c r="E70" s="51"/>
    </row>
    <row r="71" spans="1:5" ht="15.75" hidden="1" thickBot="1" x14ac:dyDescent="0.3">
      <c r="A71" s="62" t="s">
        <v>79</v>
      </c>
      <c r="B71" s="62"/>
      <c r="C71" s="63"/>
      <c r="D71" s="51"/>
      <c r="E71" s="51"/>
    </row>
    <row r="72" spans="1:5" s="65" customFormat="1" x14ac:dyDescent="0.25">
      <c r="A72" s="8"/>
      <c r="B72" s="8"/>
      <c r="C72" s="64"/>
    </row>
    <row r="73" spans="1:5" s="65" customFormat="1" x14ac:dyDescent="0.25">
      <c r="A73" s="8"/>
      <c r="B73" s="8"/>
      <c r="C73" s="64"/>
    </row>
    <row r="74" spans="1:5" s="65" customFormat="1" x14ac:dyDescent="0.25">
      <c r="A74" s="8"/>
      <c r="B74" s="8"/>
      <c r="C74" s="64"/>
    </row>
    <row r="75" spans="1:5" s="65" customFormat="1" x14ac:dyDescent="0.25">
      <c r="A75" s="8"/>
      <c r="B75" s="8"/>
      <c r="C75" s="64"/>
    </row>
    <row r="76" spans="1:5" s="65" customFormat="1" x14ac:dyDescent="0.25">
      <c r="A76" s="8"/>
      <c r="B76" s="8"/>
      <c r="C76" s="64"/>
    </row>
    <row r="77" spans="1:5" x14ac:dyDescent="0.25">
      <c r="A77" s="8"/>
      <c r="B77" s="8"/>
      <c r="C77" s="64"/>
    </row>
    <row r="78" spans="1:5" x14ac:dyDescent="0.25">
      <c r="A78" s="8"/>
      <c r="B78" s="8"/>
      <c r="C78" s="64"/>
    </row>
    <row r="79" spans="1:5" x14ac:dyDescent="0.25">
      <c r="A79" s="8"/>
      <c r="B79" s="8"/>
      <c r="C79" s="64"/>
    </row>
    <row r="80" spans="1:5" x14ac:dyDescent="0.25">
      <c r="A80" s="8"/>
      <c r="B80" s="8"/>
      <c r="C80" s="64"/>
    </row>
    <row r="81" spans="1:3" x14ac:dyDescent="0.25">
      <c r="A81" s="8"/>
      <c r="B81" s="8"/>
      <c r="C81" s="6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LICEO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Lisette Olmos Moreno</dc:creator>
  <cp:lastModifiedBy>Lisette Olmos Moreno</cp:lastModifiedBy>
  <dcterms:created xsi:type="dcterms:W3CDTF">2026-04-28T15:17:08Z</dcterms:created>
  <dcterms:modified xsi:type="dcterms:W3CDTF">2026-04-28T15:18:15Z</dcterms:modified>
</cp:coreProperties>
</file>