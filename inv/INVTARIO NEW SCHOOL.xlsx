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CF4D2C8-3459-443B-8BB6-E1696609C111}" xr6:coauthVersionLast="47" xr6:coauthVersionMax="47" xr10:uidLastSave="{00000000-0000-0000-0000-000000000000}"/>
  <bookViews>
    <workbookView xWindow="-120" yWindow="-120" windowWidth="20730" windowHeight="11040" xr2:uid="{95BB12FF-60B9-444B-80A1-A5D2A6AF8F2B}"/>
  </bookViews>
  <sheets>
    <sheet name="inv incia pag" sheetId="1" r:id="rId1"/>
  </sheets>
  <definedNames>
    <definedName name="_xlnm.Print_Area" localSheetId="0">'inv incia pag'!$N$8:$O$21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7" i="1" l="1"/>
  <c r="C66" i="1"/>
  <c r="C64" i="1"/>
  <c r="C63" i="1"/>
  <c r="C62" i="1"/>
  <c r="C61" i="1"/>
  <c r="C60" i="1"/>
  <c r="C59" i="1"/>
  <c r="C58" i="1"/>
  <c r="C56" i="1"/>
  <c r="C55" i="1"/>
  <c r="C54" i="1"/>
  <c r="C53" i="1"/>
  <c r="C52" i="1"/>
  <c r="C51" i="1"/>
  <c r="C50" i="1"/>
  <c r="C42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6" i="1"/>
  <c r="C5" i="1"/>
  <c r="C4" i="1"/>
  <c r="C2" i="1"/>
</calcChain>
</file>

<file path=xl/sharedStrings.xml><?xml version="1.0" encoding="utf-8"?>
<sst xmlns="http://schemas.openxmlformats.org/spreadsheetml/2006/main" count="108" uniqueCount="99">
  <si>
    <t xml:space="preserve">DESCRIPCION </t>
  </si>
  <si>
    <t xml:space="preserve">TALLAS VENTA </t>
  </si>
  <si>
    <t>CANT</t>
  </si>
  <si>
    <t>POLO 2</t>
  </si>
  <si>
    <t>POLO 4</t>
  </si>
  <si>
    <t>POLO 6</t>
  </si>
  <si>
    <t>POLO 8</t>
  </si>
  <si>
    <t>POLO 10</t>
  </si>
  <si>
    <t>POLO 12</t>
  </si>
  <si>
    <t>POLO 14</t>
  </si>
  <si>
    <t>POLO 16</t>
  </si>
  <si>
    <t>POLO S</t>
  </si>
  <si>
    <t>POLO M</t>
  </si>
  <si>
    <t>CAMISETA 2-4</t>
  </si>
  <si>
    <t>CAMISETA 6-8</t>
  </si>
  <si>
    <t>CAMISETA 10-12</t>
  </si>
  <si>
    <t>CAMISETA S (ADULTO)</t>
  </si>
  <si>
    <t>JOGGER T2</t>
  </si>
  <si>
    <t>JOGGER T4</t>
  </si>
  <si>
    <t>JOGGER T6</t>
  </si>
  <si>
    <t>JOGGER T8</t>
  </si>
  <si>
    <t>JOGGER 10</t>
  </si>
  <si>
    <t>JOGGER 12</t>
  </si>
  <si>
    <t>JOGGER 14</t>
  </si>
  <si>
    <t>JOGGER 16</t>
  </si>
  <si>
    <t>JOGGER S</t>
  </si>
  <si>
    <t>JOGGER M</t>
  </si>
  <si>
    <t>JOGGER L</t>
  </si>
  <si>
    <t>JOGGER XL</t>
  </si>
  <si>
    <t>SUDADERA 2</t>
  </si>
  <si>
    <t>verificar precio nuevo</t>
  </si>
  <si>
    <t>SUDADERA 4</t>
  </si>
  <si>
    <t>SUDADERA 6</t>
  </si>
  <si>
    <t>Actualizado el 08 julio todos los precios de daniel</t>
  </si>
  <si>
    <t>SUDADERA 8</t>
  </si>
  <si>
    <t>SUDADERA 10</t>
  </si>
  <si>
    <t>SUDADERA 12</t>
  </si>
  <si>
    <t>SUDADERA 14</t>
  </si>
  <si>
    <t>SUDADERA 16</t>
  </si>
  <si>
    <t>SUDADERA S</t>
  </si>
  <si>
    <t>SUDADERA M</t>
  </si>
  <si>
    <t>SUDADERA L</t>
  </si>
  <si>
    <t>SUDADERA XL</t>
  </si>
  <si>
    <t>BUSO GRIS 4</t>
  </si>
  <si>
    <t>BUSO GRIS 6</t>
  </si>
  <si>
    <t>BUSO GRIS 8</t>
  </si>
  <si>
    <t>BUSO GRIS 10</t>
  </si>
  <si>
    <t>BUSO GRIS 12</t>
  </si>
  <si>
    <t>BUSO GRIS 14</t>
  </si>
  <si>
    <t>BUSO GRIS 16</t>
  </si>
  <si>
    <t>estimado no tenemos costo real</t>
  </si>
  <si>
    <t>BUSO GRIS S</t>
  </si>
  <si>
    <t>BUSO GRIS M</t>
  </si>
  <si>
    <t>BUSO GRIS L</t>
  </si>
  <si>
    <t>BUSO CIERRE T2</t>
  </si>
  <si>
    <t xml:space="preserve">T6 </t>
  </si>
  <si>
    <t>BUSO CIERRE T4</t>
  </si>
  <si>
    <t>BUSO CIERRE T6</t>
  </si>
  <si>
    <t>BUSO CIERRE T8</t>
  </si>
  <si>
    <t>BUSO CIERRE T10</t>
  </si>
  <si>
    <t>T10</t>
  </si>
  <si>
    <t>BUSO CIERRE T12</t>
  </si>
  <si>
    <t>T12</t>
  </si>
  <si>
    <t>BUSO CIERRE T14</t>
  </si>
  <si>
    <t xml:space="preserve">T14 </t>
  </si>
  <si>
    <t>BUSO CIERRE T16</t>
  </si>
  <si>
    <t>T16</t>
  </si>
  <si>
    <t>BUSO CIERRE TS</t>
  </si>
  <si>
    <t>TS</t>
  </si>
  <si>
    <t>BUSO CIERRE TM</t>
  </si>
  <si>
    <t>TM</t>
  </si>
  <si>
    <t>BUSO CIERRE TL</t>
  </si>
  <si>
    <t>CAMISETA T2-4</t>
  </si>
  <si>
    <t>T2 4</t>
  </si>
  <si>
    <t>Estampado $3.250</t>
  </si>
  <si>
    <t>CAMISETA T6-8</t>
  </si>
  <si>
    <t>T6 8</t>
  </si>
  <si>
    <t>CAMISETA T10-12</t>
  </si>
  <si>
    <t>T10 12</t>
  </si>
  <si>
    <t>CAMISETA T14-16</t>
  </si>
  <si>
    <t>CAMISETA TS</t>
  </si>
  <si>
    <t>CAMISETA TM</t>
  </si>
  <si>
    <t>CAMISETA TL</t>
  </si>
  <si>
    <t>CAMISETA TXL</t>
  </si>
  <si>
    <t>T14 16</t>
  </si>
  <si>
    <t>CAMIBUSOS T2-4</t>
  </si>
  <si>
    <t>CAMIBUSOS T6-8</t>
  </si>
  <si>
    <t>CAMIBUSOS T10</t>
  </si>
  <si>
    <t>PAVAS NIÑOS/ADULTOS</t>
  </si>
  <si>
    <t>Descripción</t>
  </si>
  <si>
    <t>P.U.</t>
  </si>
  <si>
    <t>Camisetas</t>
  </si>
  <si>
    <t>Polos</t>
  </si>
  <si>
    <t>Jogger T4 a T10</t>
  </si>
  <si>
    <t>Jogger T12 a TL</t>
  </si>
  <si>
    <t>Sudadera T4 a T12</t>
  </si>
  <si>
    <t>Sudadera T16 a TXL</t>
  </si>
  <si>
    <t xml:space="preserve">Busos grises </t>
  </si>
  <si>
    <t>Busos Azules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</si>
</sst>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BF2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3" fillId="4" borderId="1" xfId="0" applyFont="1" applyFill="1" applyBorder="1" applyAlignment="1">
      <alignment horizontal="center"/>
    </xf>
    <xf numFmtId="3" fontId="0" fillId="4" borderId="1" xfId="0" applyNumberFormat="1" applyFill="1" applyBorder="1"/>
    <xf numFmtId="3" fontId="0" fillId="3" borderId="1" xfId="0" applyNumberFormat="1" applyFill="1" applyBorder="1"/>
    <xf numFmtId="10" fontId="0" fillId="4" borderId="1" xfId="0" applyNumberFormat="1" applyFill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3" fontId="3" fillId="3" borderId="1" xfId="0" applyNumberFormat="1" applyFont="1" applyFill="1" applyBorder="1"/>
    <xf numFmtId="10" fontId="3" fillId="4" borderId="1" xfId="0" applyNumberFormat="1" applyFont="1" applyFill="1" applyBorder="1"/>
    <xf numFmtId="3" fontId="0" fillId="0" borderId="0" xfId="0" applyNumberFormat="1"/>
    <xf numFmtId="0" fontId="1" fillId="0" borderId="0" xfId="0" applyFont="1"/>
    <xf numFmtId="0" fontId="1" fillId="4" borderId="1" xfId="0" applyFont="1" applyFill="1" applyBorder="1" applyAlignment="1">
      <alignment horizontal="center"/>
    </xf>
    <xf numFmtId="16" fontId="1" fillId="0" borderId="0" xfId="0" applyNumberFormat="1" applyFont="1"/>
    <xf numFmtId="0" fontId="3" fillId="4" borderId="2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3" fontId="0" fillId="4" borderId="2" xfId="0" applyNumberFormat="1" applyFill="1" applyBorder="1"/>
    <xf numFmtId="3" fontId="3" fillId="4" borderId="2" xfId="0" applyNumberFormat="1" applyFont="1" applyFill="1" applyBorder="1"/>
    <xf numFmtId="3" fontId="3" fillId="3" borderId="2" xfId="0" applyNumberFormat="1" applyFont="1" applyFill="1" applyBorder="1"/>
    <xf numFmtId="10" fontId="3" fillId="4" borderId="2" xfId="0" applyNumberFormat="1" applyFont="1" applyFill="1" applyBorder="1"/>
    <xf numFmtId="0" fontId="0" fillId="5" borderId="3" xfId="0" applyFill="1" applyBorder="1"/>
    <xf numFmtId="0" fontId="1" fillId="5" borderId="3" xfId="0" applyFont="1" applyFill="1" applyBorder="1"/>
    <xf numFmtId="0" fontId="0" fillId="5" borderId="3" xfId="0" applyFill="1" applyBorder="1" applyAlignment="1">
      <alignment horizontal="center"/>
    </xf>
    <xf numFmtId="3" fontId="0" fillId="5" borderId="3" xfId="0" applyNumberFormat="1" applyFill="1" applyBorder="1"/>
    <xf numFmtId="3" fontId="0" fillId="3" borderId="3" xfId="0" applyNumberFormat="1" applyFill="1" applyBorder="1"/>
    <xf numFmtId="10" fontId="0" fillId="5" borderId="3" xfId="0" applyNumberFormat="1" applyFill="1" applyBorder="1"/>
    <xf numFmtId="0" fontId="3" fillId="5" borderId="1" xfId="0" applyFont="1" applyFill="1" applyBorder="1"/>
    <xf numFmtId="0" fontId="1" fillId="5" borderId="1" xfId="0" applyFont="1" applyFill="1" applyBorder="1"/>
    <xf numFmtId="0" fontId="3" fillId="5" borderId="1" xfId="0" applyFont="1" applyFill="1" applyBorder="1" applyAlignment="1">
      <alignment horizontal="center"/>
    </xf>
    <xf numFmtId="3" fontId="3" fillId="5" borderId="1" xfId="0" applyNumberFormat="1" applyFont="1" applyFill="1" applyBorder="1"/>
    <xf numFmtId="10" fontId="3" fillId="5" borderId="1" xfId="0" applyNumberFormat="1" applyFont="1" applyFill="1" applyBorder="1"/>
    <xf numFmtId="0" fontId="3" fillId="5" borderId="2" xfId="0" applyFont="1" applyFill="1" applyBorder="1"/>
    <xf numFmtId="0" fontId="1" fillId="5" borderId="2" xfId="0" applyFont="1" applyFill="1" applyBorder="1"/>
    <xf numFmtId="0" fontId="3" fillId="5" borderId="2" xfId="0" applyFont="1" applyFill="1" applyBorder="1" applyAlignment="1">
      <alignment horizontal="center"/>
    </xf>
    <xf numFmtId="3" fontId="3" fillId="5" borderId="2" xfId="0" applyNumberFormat="1" applyFont="1" applyFill="1" applyBorder="1"/>
    <xf numFmtId="10" fontId="3" fillId="5" borderId="2" xfId="0" applyNumberFormat="1" applyFont="1" applyFill="1" applyBorder="1"/>
    <xf numFmtId="0" fontId="0" fillId="6" borderId="3" xfId="0" applyFill="1" applyBorder="1"/>
    <xf numFmtId="17" fontId="0" fillId="6" borderId="3" xfId="0" applyNumberFormat="1" applyFill="1" applyBorder="1"/>
    <xf numFmtId="0" fontId="0" fillId="6" borderId="3" xfId="0" applyFill="1" applyBorder="1" applyAlignment="1">
      <alignment horizontal="center"/>
    </xf>
    <xf numFmtId="3" fontId="0" fillId="6" borderId="3" xfId="0" applyNumberFormat="1" applyFill="1" applyBorder="1"/>
    <xf numFmtId="10" fontId="0" fillId="6" borderId="3" xfId="0" applyNumberFormat="1" applyFill="1" applyBorder="1"/>
    <xf numFmtId="0" fontId="3" fillId="6" borderId="1" xfId="0" applyFont="1" applyFill="1" applyBorder="1"/>
    <xf numFmtId="17" fontId="3" fillId="6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3" fontId="0" fillId="6" borderId="4" xfId="0" applyNumberFormat="1" applyFill="1" applyBorder="1"/>
    <xf numFmtId="3" fontId="3" fillId="6" borderId="1" xfId="0" applyNumberFormat="1" applyFont="1" applyFill="1" applyBorder="1"/>
    <xf numFmtId="3" fontId="0" fillId="6" borderId="1" xfId="0" applyNumberFormat="1" applyFill="1" applyBorder="1"/>
    <xf numFmtId="10" fontId="0" fillId="6" borderId="1" xfId="0" applyNumberFormat="1" applyFill="1" applyBorder="1"/>
    <xf numFmtId="17" fontId="1" fillId="6" borderId="1" xfId="0" applyNumberFormat="1" applyFont="1" applyFill="1" applyBorder="1"/>
    <xf numFmtId="0" fontId="1" fillId="6" borderId="1" xfId="0" applyFont="1" applyFill="1" applyBorder="1" applyAlignment="1">
      <alignment horizontal="center"/>
    </xf>
    <xf numFmtId="10" fontId="3" fillId="6" borderId="1" xfId="0" applyNumberFormat="1" applyFont="1" applyFill="1" applyBorder="1"/>
    <xf numFmtId="3" fontId="3" fillId="7" borderId="1" xfId="0" applyNumberFormat="1" applyFont="1" applyFill="1" applyBorder="1"/>
    <xf numFmtId="0" fontId="0" fillId="6" borderId="1" xfId="0" applyFill="1" applyBorder="1"/>
    <xf numFmtId="17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0" borderId="0" xfId="0" applyFont="1"/>
    <xf numFmtId="16" fontId="3" fillId="0" borderId="0" xfId="0" applyNumberFormat="1" applyFont="1"/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3" fontId="0" fillId="6" borderId="2" xfId="0" applyNumberFormat="1" applyFill="1" applyBorder="1"/>
    <xf numFmtId="3" fontId="3" fillId="6" borderId="2" xfId="0" applyNumberFormat="1" applyFont="1" applyFill="1" applyBorder="1"/>
    <xf numFmtId="3" fontId="0" fillId="7" borderId="2" xfId="0" applyNumberFormat="1" applyFill="1" applyBorder="1"/>
    <xf numFmtId="3" fontId="0" fillId="3" borderId="2" xfId="0" applyNumberFormat="1" applyFill="1" applyBorder="1"/>
    <xf numFmtId="10" fontId="0" fillId="6" borderId="2" xfId="0" applyNumberFormat="1" applyFill="1" applyBorder="1"/>
    <xf numFmtId="0" fontId="0" fillId="8" borderId="3" xfId="0" applyFill="1" applyBorder="1"/>
    <xf numFmtId="17" fontId="0" fillId="8" borderId="3" xfId="0" applyNumberFormat="1" applyFill="1" applyBorder="1"/>
    <xf numFmtId="0" fontId="0" fillId="8" borderId="3" xfId="0" applyFill="1" applyBorder="1" applyAlignment="1">
      <alignment horizontal="center"/>
    </xf>
    <xf numFmtId="3" fontId="0" fillId="8" borderId="3" xfId="0" applyNumberFormat="1" applyFill="1" applyBorder="1"/>
    <xf numFmtId="10" fontId="0" fillId="8" borderId="3" xfId="0" applyNumberFormat="1" applyFill="1" applyBorder="1"/>
    <xf numFmtId="0" fontId="0" fillId="8" borderId="4" xfId="0" applyFill="1" applyBorder="1"/>
    <xf numFmtId="17" fontId="0" fillId="8" borderId="4" xfId="0" applyNumberFormat="1" applyFill="1" applyBorder="1"/>
    <xf numFmtId="0" fontId="0" fillId="8" borderId="4" xfId="0" applyFill="1" applyBorder="1" applyAlignment="1">
      <alignment horizontal="center"/>
    </xf>
    <xf numFmtId="3" fontId="0" fillId="8" borderId="4" xfId="0" applyNumberFormat="1" applyFill="1" applyBorder="1"/>
    <xf numFmtId="3" fontId="0" fillId="3" borderId="4" xfId="0" applyNumberFormat="1" applyFill="1" applyBorder="1"/>
    <xf numFmtId="10" fontId="0" fillId="8" borderId="4" xfId="0" applyNumberFormat="1" applyFill="1" applyBorder="1"/>
    <xf numFmtId="0" fontId="0" fillId="8" borderId="1" xfId="0" applyFill="1" applyBorder="1"/>
    <xf numFmtId="17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10" fontId="0" fillId="8" borderId="1" xfId="0" applyNumberFormat="1" applyFill="1" applyBorder="1"/>
    <xf numFmtId="3" fontId="0" fillId="8" borderId="1" xfId="0" applyNumberFormat="1" applyFill="1" applyBorder="1"/>
    <xf numFmtId="3" fontId="3" fillId="8" borderId="1" xfId="0" applyNumberFormat="1" applyFont="1" applyFill="1" applyBorder="1"/>
    <xf numFmtId="10" fontId="3" fillId="8" borderId="1" xfId="0" applyNumberFormat="1" applyFont="1" applyFill="1" applyBorder="1"/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3" fontId="3" fillId="8" borderId="2" xfId="0" applyNumberFormat="1" applyFont="1" applyFill="1" applyBorder="1"/>
    <xf numFmtId="10" fontId="3" fillId="8" borderId="2" xfId="0" applyNumberFormat="1" applyFont="1" applyFill="1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3" fontId="0" fillId="2" borderId="4" xfId="0" applyNumberFormat="1" applyFill="1" applyBorder="1"/>
    <xf numFmtId="3" fontId="3" fillId="2" borderId="3" xfId="0" applyNumberFormat="1" applyFont="1" applyFill="1" applyBorder="1"/>
    <xf numFmtId="10" fontId="0" fillId="2" borderId="4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3" fontId="0" fillId="2" borderId="1" xfId="0" applyNumberFormat="1" applyFill="1" applyBorder="1"/>
    <xf numFmtId="10" fontId="0" fillId="2" borderId="1" xfId="0" applyNumberFormat="1" applyFill="1" applyBorder="1"/>
    <xf numFmtId="3" fontId="3" fillId="2" borderId="1" xfId="0" applyNumberFormat="1" applyFont="1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3" fontId="0" fillId="2" borderId="6" xfId="0" applyNumberFormat="1" applyFill="1" applyBorder="1"/>
    <xf numFmtId="3" fontId="0" fillId="2" borderId="5" xfId="0" applyNumberFormat="1" applyFill="1" applyBorder="1"/>
    <xf numFmtId="3" fontId="3" fillId="2" borderId="5" xfId="0" applyNumberFormat="1" applyFont="1" applyFill="1" applyBorder="1"/>
    <xf numFmtId="3" fontId="0" fillId="3" borderId="5" xfId="0" applyNumberFormat="1" applyFill="1" applyBorder="1"/>
    <xf numFmtId="10" fontId="0" fillId="2" borderId="5" xfId="0" applyNumberFormat="1" applyFill="1" applyBorder="1"/>
    <xf numFmtId="0" fontId="0" fillId="4" borderId="3" xfId="0" applyFill="1" applyBorder="1"/>
    <xf numFmtId="0" fontId="3" fillId="4" borderId="3" xfId="0" applyFont="1" applyFill="1" applyBorder="1" applyAlignment="1">
      <alignment horizontal="center"/>
    </xf>
    <xf numFmtId="3" fontId="0" fillId="4" borderId="3" xfId="0" applyNumberFormat="1" applyFill="1" applyBorder="1"/>
    <xf numFmtId="10" fontId="0" fillId="4" borderId="3" xfId="0" applyNumberFormat="1" applyFill="1" applyBorder="1"/>
    <xf numFmtId="3" fontId="3" fillId="4" borderId="3" xfId="0" applyNumberFormat="1" applyFont="1" applyFill="1" applyBorder="1"/>
    <xf numFmtId="0" fontId="0" fillId="4" borderId="6" xfId="0" applyFill="1" applyBorder="1"/>
    <xf numFmtId="0" fontId="3" fillId="4" borderId="6" xfId="0" applyFont="1" applyFill="1" applyBorder="1" applyAlignment="1">
      <alignment horizontal="center"/>
    </xf>
    <xf numFmtId="3" fontId="0" fillId="4" borderId="6" xfId="0" applyNumberFormat="1" applyFill="1" applyBorder="1"/>
    <xf numFmtId="3" fontId="0" fillId="3" borderId="6" xfId="0" applyNumberFormat="1" applyFill="1" applyBorder="1"/>
    <xf numFmtId="10" fontId="0" fillId="4" borderId="6" xfId="0" applyNumberFormat="1" applyFill="1" applyBorder="1"/>
    <xf numFmtId="3" fontId="3" fillId="4" borderId="6" xfId="0" applyNumberFormat="1" applyFont="1" applyFill="1" applyBorder="1"/>
    <xf numFmtId="0" fontId="0" fillId="4" borderId="4" xfId="0" applyFill="1" applyBorder="1"/>
    <xf numFmtId="0" fontId="3" fillId="4" borderId="4" xfId="0" applyFont="1" applyFill="1" applyBorder="1" applyAlignment="1">
      <alignment horizontal="center"/>
    </xf>
    <xf numFmtId="3" fontId="0" fillId="4" borderId="4" xfId="0" applyNumberFormat="1" applyFill="1" applyBorder="1"/>
    <xf numFmtId="10" fontId="0" fillId="4" borderId="4" xfId="0" applyNumberFormat="1" applyFill="1" applyBorder="1"/>
    <xf numFmtId="3" fontId="3" fillId="4" borderId="4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0" fillId="0" borderId="1" xfId="0" applyNumberFormat="1" applyBorder="1"/>
    <xf numFmtId="3" fontId="3" fillId="0" borderId="1" xfId="0" applyNumberFormat="1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3" fontId="0" fillId="0" borderId="5" xfId="0" applyNumberFormat="1" applyBorder="1"/>
    <xf numFmtId="3" fontId="3" fillId="0" borderId="5" xfId="0" applyNumberFormat="1" applyFont="1" applyBorder="1"/>
    <xf numFmtId="10" fontId="0" fillId="4" borderId="5" xfId="0" applyNumberFormat="1" applyFill="1" applyBorder="1"/>
    <xf numFmtId="0" fontId="3" fillId="9" borderId="3" xfId="0" applyFont="1" applyFill="1" applyBorder="1"/>
    <xf numFmtId="0" fontId="3" fillId="9" borderId="3" xfId="0" applyFont="1" applyFill="1" applyBorder="1" applyAlignment="1">
      <alignment horizontal="center"/>
    </xf>
    <xf numFmtId="3" fontId="0" fillId="9" borderId="3" xfId="0" applyNumberFormat="1" applyFill="1" applyBorder="1"/>
    <xf numFmtId="3" fontId="3" fillId="9" borderId="3" xfId="0" applyNumberFormat="1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0" fillId="9" borderId="1" xfId="0" applyNumberFormat="1" applyFill="1" applyBorder="1"/>
    <xf numFmtId="3" fontId="3" fillId="9" borderId="1" xfId="0" applyNumberFormat="1" applyFont="1" applyFill="1" applyBorder="1"/>
    <xf numFmtId="0" fontId="0" fillId="0" borderId="0" xfId="0" applyAlignment="1">
      <alignment horizontal="center"/>
    </xf>
    <xf numFmtId="10" fontId="0" fillId="0" borderId="0" xfId="0" applyNumberFormat="1"/>
    <xf numFmtId="0" fontId="0" fillId="10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3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3" fontId="0" fillId="0" borderId="9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B77F-01A9-4216-A4AC-E68F9A14B785}">
  <dimension ref="A1:O91"/>
  <sheetViews>
    <sheetView tabSelected="1" workbookViewId="0">
      <pane ySplit="1" topLeftCell="A2" activePane="bottomLeft" state="frozen"/>
      <selection activeCell="B1" sqref="B1"/>
      <selection pane="bottomLeft" activeCell="D3" sqref="D3"/>
    </sheetView>
  </sheetViews>
  <sheetFormatPr baseColWidth="10" defaultRowHeight="15" x14ac:dyDescent="0.25"/>
  <cols>
    <col min="1" max="1" width="22.28515625" customWidth="1"/>
    <col min="2" max="2" width="13.28515625" hidden="1" customWidth="1"/>
    <col min="3" max="3" width="7.42578125" style="144" customWidth="1"/>
    <col min="4" max="4" width="11.140625" style="15" bestFit="1" customWidth="1"/>
    <col min="5" max="5" width="15.28515625" customWidth="1"/>
    <col min="6" max="6" width="12.42578125" style="15" customWidth="1"/>
    <col min="7" max="7" width="14.140625" style="15" customWidth="1"/>
    <col min="8" max="8" width="9.28515625" bestFit="1" customWidth="1"/>
    <col min="9" max="9" width="11.28515625" bestFit="1" customWidth="1"/>
    <col min="10" max="10" width="14" bestFit="1" customWidth="1"/>
    <col min="14" max="14" width="19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/>
      <c r="E1" s="3"/>
      <c r="F1" s="1"/>
      <c r="G1" s="3"/>
      <c r="H1" s="4"/>
      <c r="I1" s="1"/>
      <c r="J1" s="3"/>
    </row>
    <row r="2" spans="1:12" ht="20.100000000000001" customHeight="1" x14ac:dyDescent="0.25">
      <c r="A2" s="5" t="s">
        <v>3</v>
      </c>
      <c r="B2" s="6"/>
      <c r="C2" s="7">
        <f>7-2</f>
        <v>5</v>
      </c>
      <c r="D2" s="8"/>
      <c r="E2" s="8"/>
      <c r="F2" s="8"/>
      <c r="G2" s="8"/>
      <c r="H2" s="9"/>
      <c r="I2" s="10"/>
      <c r="J2" s="8"/>
    </row>
    <row r="3" spans="1:12" ht="20.100000000000001" customHeight="1" x14ac:dyDescent="0.25">
      <c r="A3" s="11" t="s">
        <v>4</v>
      </c>
      <c r="B3" s="6"/>
      <c r="C3" s="7">
        <v>10</v>
      </c>
      <c r="D3" s="12"/>
      <c r="E3" s="12"/>
      <c r="F3" s="12"/>
      <c r="G3" s="12"/>
      <c r="H3" s="13"/>
      <c r="I3" s="14"/>
      <c r="J3" s="12"/>
    </row>
    <row r="4" spans="1:12" ht="20.100000000000001" customHeight="1" x14ac:dyDescent="0.25">
      <c r="A4" s="11" t="s">
        <v>5</v>
      </c>
      <c r="B4" s="6"/>
      <c r="C4" s="7">
        <f>8-1-1-1</f>
        <v>5</v>
      </c>
      <c r="D4" s="12"/>
      <c r="E4" s="12"/>
      <c r="F4" s="12"/>
      <c r="G4" s="12"/>
      <c r="H4" s="13"/>
      <c r="I4" s="14"/>
      <c r="J4" s="12"/>
      <c r="K4" s="15"/>
    </row>
    <row r="5" spans="1:12" ht="20.100000000000001" customHeight="1" x14ac:dyDescent="0.25">
      <c r="A5" s="11" t="s">
        <v>6</v>
      </c>
      <c r="B5" s="6"/>
      <c r="C5" s="7">
        <f>6-2</f>
        <v>4</v>
      </c>
      <c r="D5" s="12"/>
      <c r="E5" s="12"/>
      <c r="F5" s="12"/>
      <c r="G5" s="12"/>
      <c r="H5" s="13"/>
      <c r="I5" s="14"/>
      <c r="J5" s="12"/>
    </row>
    <row r="6" spans="1:12" ht="20.100000000000001" customHeight="1" x14ac:dyDescent="0.25">
      <c r="A6" s="11" t="s">
        <v>7</v>
      </c>
      <c r="B6" s="6"/>
      <c r="C6" s="7">
        <f>9-1-1</f>
        <v>7</v>
      </c>
      <c r="D6" s="12"/>
      <c r="E6" s="8"/>
      <c r="F6" s="8"/>
      <c r="G6" s="12"/>
      <c r="H6" s="9"/>
      <c r="I6" s="10"/>
      <c r="J6" s="8"/>
      <c r="K6" s="16"/>
    </row>
    <row r="7" spans="1:12" ht="20.100000000000001" hidden="1" customHeight="1" x14ac:dyDescent="0.25">
      <c r="A7" s="11" t="s">
        <v>8</v>
      </c>
      <c r="B7" s="6"/>
      <c r="C7" s="17"/>
      <c r="D7" s="12"/>
      <c r="E7" s="8"/>
      <c r="F7" s="8"/>
      <c r="G7" s="12"/>
      <c r="H7" s="9"/>
      <c r="I7" s="10"/>
      <c r="J7" s="8"/>
    </row>
    <row r="8" spans="1:12" ht="20.100000000000001" hidden="1" customHeight="1" x14ac:dyDescent="0.25">
      <c r="A8" s="11" t="s">
        <v>9</v>
      </c>
      <c r="B8" s="6"/>
      <c r="C8" s="17"/>
      <c r="D8" s="12"/>
      <c r="E8" s="8"/>
      <c r="F8" s="8"/>
      <c r="G8" s="12"/>
      <c r="H8" s="9"/>
      <c r="I8" s="10"/>
      <c r="J8" s="8"/>
    </row>
    <row r="9" spans="1:12" ht="20.100000000000001" hidden="1" customHeight="1" x14ac:dyDescent="0.25">
      <c r="A9" s="11" t="s">
        <v>10</v>
      </c>
      <c r="B9" s="6"/>
      <c r="C9" s="17"/>
      <c r="D9" s="12"/>
      <c r="E9" s="12"/>
      <c r="F9" s="12"/>
      <c r="G9" s="12"/>
      <c r="H9" s="13"/>
      <c r="I9" s="14"/>
      <c r="J9" s="12"/>
      <c r="K9" s="16"/>
      <c r="L9" s="18"/>
    </row>
    <row r="10" spans="1:12" ht="20.100000000000001" hidden="1" customHeight="1" x14ac:dyDescent="0.25">
      <c r="A10" s="11" t="s">
        <v>11</v>
      </c>
      <c r="B10" s="6"/>
      <c r="C10" s="17"/>
      <c r="D10" s="12"/>
      <c r="E10" s="12"/>
      <c r="F10" s="12"/>
      <c r="G10" s="12"/>
      <c r="H10" s="13"/>
      <c r="I10" s="14"/>
      <c r="J10" s="12"/>
      <c r="K10" s="16"/>
      <c r="L10" s="18"/>
    </row>
    <row r="11" spans="1:12" ht="20.100000000000001" hidden="1" customHeight="1" thickBot="1" x14ac:dyDescent="0.3">
      <c r="A11" s="19" t="s">
        <v>12</v>
      </c>
      <c r="B11" s="20"/>
      <c r="C11" s="21"/>
      <c r="D11" s="22"/>
      <c r="E11" s="23"/>
      <c r="F11" s="23"/>
      <c r="G11" s="23"/>
      <c r="H11" s="24"/>
      <c r="I11" s="25"/>
      <c r="J11" s="23"/>
      <c r="K11" s="16"/>
      <c r="L11" s="18"/>
    </row>
    <row r="12" spans="1:12" ht="20.100000000000001" hidden="1" customHeight="1" x14ac:dyDescent="0.25">
      <c r="A12" s="26" t="s">
        <v>13</v>
      </c>
      <c r="B12" s="27"/>
      <c r="C12" s="28">
        <v>0</v>
      </c>
      <c r="D12" s="29"/>
      <c r="E12" s="29"/>
      <c r="F12" s="29"/>
      <c r="G12" s="29"/>
      <c r="H12" s="30"/>
      <c r="I12" s="31"/>
      <c r="J12" s="29"/>
    </row>
    <row r="13" spans="1:12" ht="20.100000000000001" hidden="1" customHeight="1" x14ac:dyDescent="0.25">
      <c r="A13" s="32" t="s">
        <v>14</v>
      </c>
      <c r="B13" s="33"/>
      <c r="C13" s="34">
        <v>0</v>
      </c>
      <c r="D13" s="35"/>
      <c r="E13" s="35"/>
      <c r="F13" s="35"/>
      <c r="G13" s="35"/>
      <c r="H13" s="13"/>
      <c r="I13" s="36"/>
      <c r="J13" s="35"/>
    </row>
    <row r="14" spans="1:12" ht="20.100000000000001" hidden="1" customHeight="1" x14ac:dyDescent="0.25">
      <c r="A14" s="32" t="s">
        <v>15</v>
      </c>
      <c r="B14" s="33"/>
      <c r="C14" s="34">
        <v>0</v>
      </c>
      <c r="D14" s="35"/>
      <c r="E14" s="35"/>
      <c r="F14" s="35"/>
      <c r="G14" s="35"/>
      <c r="H14" s="13"/>
      <c r="I14" s="36"/>
      <c r="J14" s="35"/>
    </row>
    <row r="15" spans="1:12" ht="20.100000000000001" hidden="1" customHeight="1" thickBot="1" x14ac:dyDescent="0.3">
      <c r="A15" s="37" t="s">
        <v>16</v>
      </c>
      <c r="B15" s="38"/>
      <c r="C15" s="39">
        <v>0</v>
      </c>
      <c r="D15" s="40"/>
      <c r="E15" s="40"/>
      <c r="F15" s="40"/>
      <c r="G15" s="40"/>
      <c r="H15" s="24"/>
      <c r="I15" s="41"/>
      <c r="J15" s="40"/>
    </row>
    <row r="16" spans="1:12" ht="20.100000000000001" hidden="1" customHeight="1" x14ac:dyDescent="0.25">
      <c r="A16" s="42" t="s">
        <v>17</v>
      </c>
      <c r="B16" s="43"/>
      <c r="C16" s="44"/>
      <c r="D16" s="45"/>
      <c r="E16" s="45"/>
      <c r="F16" s="45"/>
      <c r="G16" s="45"/>
      <c r="H16" s="30"/>
      <c r="I16" s="46"/>
      <c r="J16" s="45"/>
    </row>
    <row r="17" spans="1:15" ht="20.100000000000001" hidden="1" customHeight="1" x14ac:dyDescent="0.25">
      <c r="A17" s="47" t="s">
        <v>18</v>
      </c>
      <c r="B17" s="48"/>
      <c r="C17" s="49"/>
      <c r="D17" s="50"/>
      <c r="E17" s="51"/>
      <c r="F17" s="52"/>
      <c r="G17" s="52"/>
      <c r="H17" s="9"/>
      <c r="I17" s="53"/>
      <c r="J17" s="52"/>
    </row>
    <row r="18" spans="1:15" ht="20.100000000000001" hidden="1" customHeight="1" x14ac:dyDescent="0.25">
      <c r="A18" s="47" t="s">
        <v>19</v>
      </c>
      <c r="B18" s="54"/>
      <c r="C18" s="55"/>
      <c r="D18" s="50"/>
      <c r="E18" s="51"/>
      <c r="F18" s="52"/>
      <c r="G18" s="52"/>
      <c r="H18" s="13"/>
      <c r="I18" s="56"/>
      <c r="J18" s="51"/>
    </row>
    <row r="19" spans="1:15" ht="20.100000000000001" hidden="1" customHeight="1" x14ac:dyDescent="0.25">
      <c r="A19" s="47" t="s">
        <v>20</v>
      </c>
      <c r="B19" s="54"/>
      <c r="C19" s="55"/>
      <c r="D19" s="50"/>
      <c r="E19" s="51"/>
      <c r="F19" s="57"/>
      <c r="G19" s="52"/>
      <c r="H19" s="13"/>
      <c r="I19" s="56"/>
      <c r="J19" s="51"/>
    </row>
    <row r="20" spans="1:15" ht="20.100000000000001" hidden="1" customHeight="1" x14ac:dyDescent="0.25">
      <c r="A20" s="47" t="s">
        <v>21</v>
      </c>
      <c r="B20" s="54"/>
      <c r="C20" s="55"/>
      <c r="D20" s="50"/>
      <c r="E20" s="51"/>
      <c r="F20" s="51"/>
      <c r="G20" s="51"/>
      <c r="H20" s="13"/>
      <c r="I20" s="56"/>
      <c r="J20" s="51"/>
    </row>
    <row r="21" spans="1:15" ht="20.100000000000001" hidden="1" customHeight="1" x14ac:dyDescent="0.25">
      <c r="A21" s="47" t="s">
        <v>22</v>
      </c>
      <c r="B21" s="54"/>
      <c r="C21" s="55"/>
      <c r="D21" s="50"/>
      <c r="E21" s="51"/>
      <c r="F21" s="51"/>
      <c r="G21" s="51"/>
      <c r="H21" s="13"/>
      <c r="I21" s="56"/>
      <c r="J21" s="51"/>
      <c r="O21" s="15"/>
    </row>
    <row r="22" spans="1:15" ht="20.100000000000001" customHeight="1" x14ac:dyDescent="0.25">
      <c r="A22" s="58" t="s">
        <v>23</v>
      </c>
      <c r="B22" s="59"/>
      <c r="C22" s="60">
        <v>76</v>
      </c>
      <c r="D22" s="51"/>
      <c r="E22" s="52"/>
      <c r="F22" s="51"/>
      <c r="G22" s="51"/>
      <c r="H22" s="9"/>
      <c r="I22" s="53"/>
      <c r="J22" s="52"/>
    </row>
    <row r="23" spans="1:15" ht="20.100000000000001" customHeight="1" x14ac:dyDescent="0.25">
      <c r="A23" s="58" t="s">
        <v>24</v>
      </c>
      <c r="B23" s="59"/>
      <c r="C23" s="61">
        <v>87</v>
      </c>
      <c r="D23" s="51"/>
      <c r="E23" s="51"/>
      <c r="F23" s="51"/>
      <c r="G23" s="51"/>
      <c r="H23" s="9"/>
      <c r="I23" s="53"/>
      <c r="J23" s="52"/>
      <c r="K23" s="16"/>
      <c r="L23" s="18"/>
    </row>
    <row r="24" spans="1:15" ht="20.100000000000001" customHeight="1" x14ac:dyDescent="0.25">
      <c r="A24" s="58" t="s">
        <v>25</v>
      </c>
      <c r="B24" s="58"/>
      <c r="C24" s="60">
        <v>79</v>
      </c>
      <c r="D24" s="51"/>
      <c r="E24" s="51"/>
      <c r="F24" s="51"/>
      <c r="G24" s="52"/>
      <c r="H24" s="9"/>
      <c r="I24" s="53"/>
      <c r="J24" s="52"/>
      <c r="K24" s="62"/>
      <c r="L24" s="63"/>
    </row>
    <row r="25" spans="1:15" ht="20.100000000000001" customHeight="1" x14ac:dyDescent="0.25">
      <c r="A25" s="58" t="s">
        <v>26</v>
      </c>
      <c r="B25" s="58"/>
      <c r="C25" s="60">
        <v>11</v>
      </c>
      <c r="D25" s="51"/>
      <c r="E25" s="51"/>
      <c r="F25" s="51"/>
      <c r="G25" s="52"/>
      <c r="H25" s="9"/>
      <c r="I25" s="53"/>
      <c r="J25" s="52"/>
      <c r="K25" s="62"/>
      <c r="L25" s="63"/>
    </row>
    <row r="26" spans="1:15" ht="20.100000000000001" hidden="1" customHeight="1" x14ac:dyDescent="0.25">
      <c r="A26" s="58" t="s">
        <v>27</v>
      </c>
      <c r="B26" s="58"/>
      <c r="C26" s="60"/>
      <c r="D26" s="51"/>
      <c r="E26" s="51"/>
      <c r="F26" s="51"/>
      <c r="G26" s="52"/>
      <c r="H26" s="9"/>
      <c r="I26" s="53"/>
      <c r="J26" s="52"/>
      <c r="K26" s="62"/>
      <c r="L26" s="63"/>
    </row>
    <row r="27" spans="1:15" ht="17.25" customHeight="1" thickBot="1" x14ac:dyDescent="0.3">
      <c r="A27" s="64" t="s">
        <v>28</v>
      </c>
      <c r="B27" s="64"/>
      <c r="C27" s="65">
        <v>1</v>
      </c>
      <c r="D27" s="66"/>
      <c r="E27" s="67"/>
      <c r="F27" s="68"/>
      <c r="G27" s="66"/>
      <c r="H27" s="69"/>
      <c r="I27" s="70"/>
      <c r="J27" s="66"/>
      <c r="K27" s="62"/>
      <c r="L27" s="63"/>
    </row>
    <row r="28" spans="1:15" ht="20.100000000000001" customHeight="1" x14ac:dyDescent="0.25">
      <c r="A28" s="71" t="s">
        <v>29</v>
      </c>
      <c r="B28" s="72"/>
      <c r="C28" s="73">
        <f>15-1-1-3-1-1</f>
        <v>8</v>
      </c>
      <c r="D28" s="74"/>
      <c r="E28" s="74"/>
      <c r="F28" s="74"/>
      <c r="G28" s="74"/>
      <c r="H28" s="30"/>
      <c r="I28" s="75"/>
      <c r="J28" s="74"/>
      <c r="K28" t="s">
        <v>30</v>
      </c>
    </row>
    <row r="29" spans="1:15" ht="20.100000000000001" customHeight="1" x14ac:dyDescent="0.25">
      <c r="A29" s="76" t="s">
        <v>31</v>
      </c>
      <c r="B29" s="77"/>
      <c r="C29" s="78">
        <f>20-1+1-2+1-2</f>
        <v>17</v>
      </c>
      <c r="D29" s="79"/>
      <c r="E29" s="79"/>
      <c r="F29" s="79"/>
      <c r="G29" s="79"/>
      <c r="H29" s="80"/>
      <c r="I29" s="81"/>
      <c r="J29" s="79"/>
    </row>
    <row r="30" spans="1:15" ht="20.100000000000001" customHeight="1" x14ac:dyDescent="0.25">
      <c r="A30" s="82" t="s">
        <v>32</v>
      </c>
      <c r="B30" s="83"/>
      <c r="C30" s="84">
        <f>2-2+2-1-1+20-4-2-1-1-2+2</f>
        <v>12</v>
      </c>
      <c r="D30" s="79"/>
      <c r="E30" s="79"/>
      <c r="F30" s="79"/>
      <c r="G30" s="79"/>
      <c r="H30" s="9"/>
      <c r="I30" s="85"/>
      <c r="J30" s="86"/>
      <c r="K30" t="s">
        <v>33</v>
      </c>
    </row>
    <row r="31" spans="1:15" ht="20.100000000000001" customHeight="1" x14ac:dyDescent="0.25">
      <c r="A31" s="82" t="s">
        <v>34</v>
      </c>
      <c r="B31" s="83"/>
      <c r="C31" s="84">
        <f>30-1-1-2</f>
        <v>26</v>
      </c>
      <c r="D31" s="79"/>
      <c r="E31" s="79"/>
      <c r="F31" s="79"/>
      <c r="G31" s="79"/>
      <c r="H31" s="9"/>
      <c r="I31" s="85"/>
      <c r="J31" s="86"/>
    </row>
    <row r="32" spans="1:15" ht="20.100000000000001" customHeight="1" x14ac:dyDescent="0.25">
      <c r="A32" s="82" t="s">
        <v>35</v>
      </c>
      <c r="B32" s="83"/>
      <c r="C32" s="84">
        <f>24+10-1-3-4-1-2-2-3-2-2-2-2+10-1</f>
        <v>19</v>
      </c>
      <c r="D32" s="79"/>
      <c r="E32" s="79"/>
      <c r="F32" s="79"/>
      <c r="G32" s="79"/>
      <c r="H32" s="9"/>
      <c r="I32" s="85"/>
      <c r="J32" s="86"/>
    </row>
    <row r="33" spans="1:12" ht="20.100000000000001" customHeight="1" x14ac:dyDescent="0.25">
      <c r="A33" s="82" t="s">
        <v>36</v>
      </c>
      <c r="B33" s="83"/>
      <c r="C33" s="84">
        <f>15-3-1-1-1-2-1-1-2-1-1+30-2-1-1-1+1</f>
        <v>27</v>
      </c>
      <c r="D33" s="79"/>
      <c r="E33" s="79"/>
      <c r="F33" s="79"/>
      <c r="G33" s="79"/>
      <c r="H33" s="9"/>
      <c r="I33" s="85"/>
      <c r="J33" s="86"/>
    </row>
    <row r="34" spans="1:12" ht="20.100000000000001" customHeight="1" x14ac:dyDescent="0.25">
      <c r="A34" s="82" t="s">
        <v>37</v>
      </c>
      <c r="B34" s="83"/>
      <c r="C34" s="84">
        <f>12+14-1-2-2-1-1-1-1+1-1-1-1-1-3-1-2-1-1-1-2+20-1-1-2</f>
        <v>19</v>
      </c>
      <c r="D34" s="86"/>
      <c r="E34" s="79"/>
      <c r="F34" s="79"/>
      <c r="G34" s="79"/>
      <c r="H34" s="9"/>
      <c r="I34" s="85"/>
      <c r="J34" s="86"/>
    </row>
    <row r="35" spans="1:12" ht="20.100000000000001" customHeight="1" x14ac:dyDescent="0.25">
      <c r="A35" s="82" t="s">
        <v>38</v>
      </c>
      <c r="B35" s="83"/>
      <c r="C35" s="84">
        <f>20-2-1-1-2-2-1-1-1-1+10-2-1-1-1-1-1-2-1+1-1-1-2-1-1-1-1+20-1-2-2-1-1</f>
        <v>14</v>
      </c>
      <c r="D35" s="86"/>
      <c r="E35" s="87"/>
      <c r="F35" s="79"/>
      <c r="G35" s="79"/>
      <c r="H35" s="13"/>
      <c r="I35" s="88"/>
      <c r="J35" s="87"/>
      <c r="K35" s="16"/>
      <c r="L35" s="18"/>
    </row>
    <row r="36" spans="1:12" ht="20.100000000000001" customHeight="1" x14ac:dyDescent="0.25">
      <c r="A36" s="82" t="s">
        <v>39</v>
      </c>
      <c r="B36" s="82"/>
      <c r="C36" s="84">
        <f>20-1-2-1-2-2-1-4-1-2-2-1-1+30-2-2-2-1-1-2-1-1-1-1-2-2</f>
        <v>12</v>
      </c>
      <c r="D36" s="86"/>
      <c r="E36" s="87"/>
      <c r="F36" s="87"/>
      <c r="G36" s="79"/>
      <c r="H36" s="13"/>
      <c r="I36" s="88"/>
      <c r="J36" s="87"/>
      <c r="K36" s="16"/>
      <c r="L36" s="18"/>
    </row>
    <row r="37" spans="1:12" ht="20.100000000000001" customHeight="1" x14ac:dyDescent="0.25">
      <c r="A37" s="82" t="s">
        <v>40</v>
      </c>
      <c r="B37" s="82"/>
      <c r="C37" s="84">
        <f>14-2-3-1-1-1-1-1-1-1-1-1+20-1-1-1-1</f>
        <v>16</v>
      </c>
      <c r="D37" s="86"/>
      <c r="E37" s="87"/>
      <c r="F37" s="87"/>
      <c r="G37" s="79"/>
      <c r="H37" s="13"/>
      <c r="I37" s="88"/>
      <c r="J37" s="87"/>
      <c r="K37" s="16"/>
      <c r="L37" s="18"/>
    </row>
    <row r="38" spans="1:12" ht="20.100000000000001" customHeight="1" x14ac:dyDescent="0.25">
      <c r="A38" s="82" t="s">
        <v>41</v>
      </c>
      <c r="B38" s="82"/>
      <c r="C38" s="84">
        <f>22+10-2-3-1-1-1</f>
        <v>24</v>
      </c>
      <c r="D38" s="86"/>
      <c r="E38" s="87"/>
      <c r="F38" s="87"/>
      <c r="G38" s="79"/>
      <c r="H38" s="13"/>
      <c r="I38" s="88"/>
      <c r="J38" s="87"/>
      <c r="K38" s="16"/>
      <c r="L38" s="18"/>
    </row>
    <row r="39" spans="1:12" ht="20.100000000000001" customHeight="1" thickBot="1" x14ac:dyDescent="0.3">
      <c r="A39" s="89" t="s">
        <v>42</v>
      </c>
      <c r="B39" s="89"/>
      <c r="C39" s="90">
        <f>1+10-1-1-1-1</f>
        <v>7</v>
      </c>
      <c r="D39" s="91"/>
      <c r="E39" s="91"/>
      <c r="F39" s="91"/>
      <c r="G39" s="91"/>
      <c r="H39" s="24"/>
      <c r="I39" s="92"/>
      <c r="J39" s="91"/>
      <c r="K39" s="16"/>
      <c r="L39" s="18"/>
    </row>
    <row r="40" spans="1:12" ht="20.100000000000001" customHeight="1" x14ac:dyDescent="0.25">
      <c r="A40" s="93" t="s">
        <v>43</v>
      </c>
      <c r="B40" s="93"/>
      <c r="C40" s="94">
        <f>19-1</f>
        <v>18</v>
      </c>
      <c r="D40" s="95"/>
      <c r="E40" s="95"/>
      <c r="F40" s="95"/>
      <c r="G40" s="96"/>
      <c r="H40" s="80"/>
      <c r="I40" s="97"/>
      <c r="J40" s="95"/>
      <c r="K40" s="16"/>
      <c r="L40" s="18"/>
    </row>
    <row r="41" spans="1:12" ht="20.100000000000001" customHeight="1" x14ac:dyDescent="0.25">
      <c r="A41" s="98" t="s">
        <v>44</v>
      </c>
      <c r="B41" s="98"/>
      <c r="C41" s="99">
        <v>0</v>
      </c>
      <c r="D41" s="95"/>
      <c r="E41" s="100"/>
      <c r="F41" s="100"/>
      <c r="G41" s="100"/>
      <c r="H41" s="9"/>
      <c r="I41" s="101"/>
      <c r="J41" s="100"/>
      <c r="K41" s="16"/>
      <c r="L41" s="18"/>
    </row>
    <row r="42" spans="1:12" ht="20.100000000000001" customHeight="1" x14ac:dyDescent="0.25">
      <c r="A42" s="98" t="s">
        <v>45</v>
      </c>
      <c r="B42" s="98"/>
      <c r="C42" s="99">
        <f>6-2-1-1+1</f>
        <v>3</v>
      </c>
      <c r="D42" s="95"/>
      <c r="E42" s="100"/>
      <c r="F42" s="100"/>
      <c r="G42" s="100"/>
      <c r="H42" s="9"/>
      <c r="I42" s="101"/>
      <c r="J42" s="100"/>
      <c r="K42" s="16"/>
      <c r="L42" s="18"/>
    </row>
    <row r="43" spans="1:12" x14ac:dyDescent="0.25">
      <c r="A43" s="98" t="s">
        <v>46</v>
      </c>
      <c r="B43" s="98"/>
      <c r="C43" s="99">
        <v>1</v>
      </c>
      <c r="D43" s="95"/>
      <c r="E43" s="100"/>
      <c r="F43" s="100"/>
      <c r="G43" s="100"/>
      <c r="H43" s="9"/>
      <c r="I43" s="101"/>
      <c r="J43" s="100"/>
      <c r="K43" s="16"/>
      <c r="L43" s="18"/>
    </row>
    <row r="44" spans="1:12" ht="20.100000000000001" customHeight="1" thickBot="1" x14ac:dyDescent="0.3">
      <c r="A44" s="98" t="s">
        <v>47</v>
      </c>
      <c r="B44" s="98"/>
      <c r="C44" s="99">
        <v>5</v>
      </c>
      <c r="D44" s="95"/>
      <c r="E44" s="100"/>
      <c r="F44" s="100"/>
      <c r="G44" s="100"/>
      <c r="H44" s="9"/>
      <c r="I44" s="101"/>
      <c r="J44" s="100"/>
      <c r="K44" s="16"/>
      <c r="L44" s="18"/>
    </row>
    <row r="45" spans="1:12" ht="20.100000000000001" hidden="1" customHeight="1" x14ac:dyDescent="0.25">
      <c r="A45" s="98" t="s">
        <v>48</v>
      </c>
      <c r="B45" s="98"/>
      <c r="C45" s="99"/>
      <c r="D45" s="95"/>
      <c r="E45" s="100"/>
      <c r="F45" s="100"/>
      <c r="G45" s="100"/>
      <c r="H45" s="9"/>
      <c r="I45" s="101"/>
      <c r="J45" s="100"/>
      <c r="K45" s="16"/>
      <c r="L45" s="18"/>
    </row>
    <row r="46" spans="1:12" ht="20.100000000000001" hidden="1" customHeight="1" x14ac:dyDescent="0.25">
      <c r="A46" s="98" t="s">
        <v>49</v>
      </c>
      <c r="B46" s="98"/>
      <c r="C46" s="99"/>
      <c r="D46" s="95"/>
      <c r="E46" s="100"/>
      <c r="F46" s="102"/>
      <c r="G46" s="100"/>
      <c r="H46" s="9"/>
      <c r="I46" s="101"/>
      <c r="J46" s="100"/>
      <c r="K46" s="16" t="s">
        <v>50</v>
      </c>
      <c r="L46" s="18"/>
    </row>
    <row r="47" spans="1:12" ht="20.100000000000001" hidden="1" customHeight="1" x14ac:dyDescent="0.25">
      <c r="A47" s="98" t="s">
        <v>51</v>
      </c>
      <c r="B47" s="98"/>
      <c r="C47" s="99"/>
      <c r="D47" s="95"/>
      <c r="E47" s="100"/>
      <c r="F47" s="102"/>
      <c r="G47" s="100"/>
      <c r="H47" s="9"/>
      <c r="I47" s="101"/>
      <c r="J47" s="100"/>
      <c r="K47" s="16"/>
      <c r="L47" s="18"/>
    </row>
    <row r="48" spans="1:12" ht="20.100000000000001" hidden="1" customHeight="1" x14ac:dyDescent="0.25">
      <c r="A48" s="98" t="s">
        <v>52</v>
      </c>
      <c r="B48" s="98"/>
      <c r="C48" s="99"/>
      <c r="D48" s="95"/>
      <c r="E48" s="100"/>
      <c r="F48" s="102"/>
      <c r="G48" s="100"/>
      <c r="H48" s="9"/>
      <c r="I48" s="101"/>
      <c r="J48" s="100"/>
      <c r="K48" s="16"/>
      <c r="L48" s="18"/>
    </row>
    <row r="49" spans="1:12" ht="20.100000000000001" hidden="1" customHeight="1" x14ac:dyDescent="0.25">
      <c r="A49" s="103" t="s">
        <v>53</v>
      </c>
      <c r="B49" s="103"/>
      <c r="C49" s="104"/>
      <c r="D49" s="105"/>
      <c r="E49" s="106"/>
      <c r="F49" s="107"/>
      <c r="G49" s="106"/>
      <c r="H49" s="108"/>
      <c r="I49" s="109"/>
      <c r="J49" s="106"/>
      <c r="K49" s="16"/>
      <c r="L49" s="18"/>
    </row>
    <row r="50" spans="1:12" ht="20.100000000000001" customHeight="1" x14ac:dyDescent="0.25">
      <c r="A50" s="110" t="s">
        <v>54</v>
      </c>
      <c r="B50" s="111" t="s">
        <v>55</v>
      </c>
      <c r="C50" s="111">
        <f>10-1-1-2-1-1-1</f>
        <v>3</v>
      </c>
      <c r="D50" s="112"/>
      <c r="E50" s="112"/>
      <c r="F50" s="112"/>
      <c r="G50" s="112"/>
      <c r="H50" s="30"/>
      <c r="I50" s="113"/>
      <c r="J50" s="114"/>
    </row>
    <row r="51" spans="1:12" ht="20.100000000000001" customHeight="1" x14ac:dyDescent="0.25">
      <c r="A51" s="115" t="s">
        <v>56</v>
      </c>
      <c r="B51" s="116" t="s">
        <v>55</v>
      </c>
      <c r="C51" s="7">
        <f>10-1-1-2-1+10</f>
        <v>15</v>
      </c>
      <c r="D51" s="117"/>
      <c r="E51" s="117"/>
      <c r="F51" s="117"/>
      <c r="G51" s="117"/>
      <c r="H51" s="118"/>
      <c r="I51" s="119"/>
      <c r="J51" s="120"/>
    </row>
    <row r="52" spans="1:12" ht="20.100000000000001" customHeight="1" x14ac:dyDescent="0.25">
      <c r="A52" s="5" t="s">
        <v>57</v>
      </c>
      <c r="B52" s="7" t="s">
        <v>55</v>
      </c>
      <c r="C52" s="7">
        <f>11-1-1-1-1-1+5-1</f>
        <v>10</v>
      </c>
      <c r="D52" s="8"/>
      <c r="E52" s="8"/>
      <c r="F52" s="8"/>
      <c r="G52" s="8"/>
      <c r="H52" s="9"/>
      <c r="I52" s="10"/>
      <c r="J52" s="12"/>
    </row>
    <row r="53" spans="1:12" ht="20.100000000000001" customHeight="1" x14ac:dyDescent="0.25">
      <c r="A53" s="121" t="s">
        <v>58</v>
      </c>
      <c r="B53" s="122"/>
      <c r="C53" s="7">
        <f>10-1-1-1-1-1-1-1+10-2+1</f>
        <v>12</v>
      </c>
      <c r="D53" s="8"/>
      <c r="E53" s="123"/>
      <c r="F53" s="8"/>
      <c r="G53" s="123"/>
      <c r="H53" s="80"/>
      <c r="I53" s="124"/>
      <c r="J53" s="125"/>
    </row>
    <row r="54" spans="1:12" ht="20.100000000000001" customHeight="1" x14ac:dyDescent="0.25">
      <c r="A54" s="5" t="s">
        <v>59</v>
      </c>
      <c r="B54" s="7" t="s">
        <v>60</v>
      </c>
      <c r="C54" s="7">
        <f>15-1-1-1-1-2+5</f>
        <v>14</v>
      </c>
      <c r="D54" s="8"/>
      <c r="E54" s="8"/>
      <c r="F54" s="8"/>
      <c r="G54" s="8"/>
      <c r="H54" s="9"/>
      <c r="I54" s="10"/>
      <c r="J54" s="12"/>
    </row>
    <row r="55" spans="1:12" ht="20.100000000000001" customHeight="1" x14ac:dyDescent="0.25">
      <c r="A55" s="5" t="s">
        <v>61</v>
      </c>
      <c r="B55" s="7" t="s">
        <v>62</v>
      </c>
      <c r="C55" s="7">
        <f>13-1+5-1</f>
        <v>16</v>
      </c>
      <c r="D55" s="8"/>
      <c r="E55" s="8"/>
      <c r="F55" s="8"/>
      <c r="G55" s="8"/>
      <c r="H55" s="9"/>
      <c r="I55" s="10"/>
      <c r="J55" s="12"/>
    </row>
    <row r="56" spans="1:12" ht="20.100000000000001" customHeight="1" x14ac:dyDescent="0.25">
      <c r="A56" s="5" t="s">
        <v>63</v>
      </c>
      <c r="B56" s="7" t="s">
        <v>64</v>
      </c>
      <c r="C56" s="7">
        <f>5-1+5-1-1-1-1-2</f>
        <v>3</v>
      </c>
      <c r="D56" s="8"/>
      <c r="E56" s="8"/>
      <c r="F56" s="8"/>
      <c r="G56" s="8"/>
      <c r="H56" s="9"/>
      <c r="I56" s="10"/>
      <c r="J56" s="12"/>
    </row>
    <row r="57" spans="1:12" ht="20.100000000000001" customHeight="1" x14ac:dyDescent="0.25">
      <c r="A57" s="5" t="s">
        <v>65</v>
      </c>
      <c r="B57" s="7" t="s">
        <v>66</v>
      </c>
      <c r="C57" s="7">
        <v>0</v>
      </c>
      <c r="D57" s="8"/>
      <c r="E57" s="8"/>
      <c r="F57" s="8"/>
      <c r="G57" s="8"/>
      <c r="H57" s="9"/>
      <c r="I57" s="10"/>
      <c r="J57" s="12"/>
    </row>
    <row r="58" spans="1:12" ht="20.100000000000001" customHeight="1" x14ac:dyDescent="0.25">
      <c r="A58" s="11" t="s">
        <v>67</v>
      </c>
      <c r="B58" s="7" t="s">
        <v>68</v>
      </c>
      <c r="C58" s="7">
        <f>2+5-1-1-1-1-1</f>
        <v>2</v>
      </c>
      <c r="D58" s="8"/>
      <c r="E58" s="8"/>
      <c r="F58" s="8"/>
      <c r="G58" s="8"/>
      <c r="H58" s="9"/>
      <c r="I58" s="10"/>
      <c r="J58" s="12"/>
    </row>
    <row r="59" spans="1:12" ht="20.100000000000001" customHeight="1" x14ac:dyDescent="0.25">
      <c r="A59" s="11" t="s">
        <v>69</v>
      </c>
      <c r="B59" s="7" t="s">
        <v>70</v>
      </c>
      <c r="C59" s="7">
        <f>15-12</f>
        <v>3</v>
      </c>
      <c r="D59" s="8"/>
      <c r="E59" s="8"/>
      <c r="F59" s="8"/>
      <c r="G59" s="8"/>
      <c r="H59" s="9"/>
      <c r="I59" s="10"/>
      <c r="J59" s="12"/>
    </row>
    <row r="60" spans="1:12" ht="20.100000000000001" customHeight="1" x14ac:dyDescent="0.25">
      <c r="A60" s="11" t="s">
        <v>71</v>
      </c>
      <c r="B60" s="7"/>
      <c r="C60" s="7">
        <f>8-6-1-1</f>
        <v>0</v>
      </c>
      <c r="D60" s="8"/>
      <c r="E60" s="8"/>
      <c r="F60" s="8"/>
      <c r="G60" s="8"/>
      <c r="H60" s="9"/>
      <c r="I60" s="10"/>
      <c r="J60" s="12"/>
    </row>
    <row r="61" spans="1:12" ht="20.100000000000001" customHeight="1" x14ac:dyDescent="0.25">
      <c r="A61" s="126" t="s">
        <v>72</v>
      </c>
      <c r="B61" s="127" t="s">
        <v>73</v>
      </c>
      <c r="C61" s="127">
        <f>52-2-1-1-1</f>
        <v>47</v>
      </c>
      <c r="D61" s="128"/>
      <c r="E61" s="128"/>
      <c r="F61" s="128"/>
      <c r="G61" s="129"/>
      <c r="H61" s="9"/>
      <c r="I61" s="10"/>
      <c r="J61" s="129"/>
      <c r="K61" t="s">
        <v>74</v>
      </c>
    </row>
    <row r="62" spans="1:12" ht="20.100000000000001" customHeight="1" x14ac:dyDescent="0.25">
      <c r="A62" s="126" t="s">
        <v>75</v>
      </c>
      <c r="B62" s="127" t="s">
        <v>76</v>
      </c>
      <c r="C62" s="127">
        <f>40-4-1-1-3-2-1-1</f>
        <v>27</v>
      </c>
      <c r="D62" s="128"/>
      <c r="E62" s="128"/>
      <c r="F62" s="128"/>
      <c r="G62" s="129"/>
      <c r="H62" s="9"/>
      <c r="I62" s="10"/>
      <c r="J62" s="129"/>
    </row>
    <row r="63" spans="1:12" ht="20.100000000000001" customHeight="1" x14ac:dyDescent="0.25">
      <c r="A63" s="126" t="s">
        <v>77</v>
      </c>
      <c r="B63" s="127" t="s">
        <v>78</v>
      </c>
      <c r="C63" s="127">
        <f>40-1-1-2-2-1-1-1-2-1-2-1</f>
        <v>25</v>
      </c>
      <c r="D63" s="128"/>
      <c r="E63" s="128"/>
      <c r="F63" s="128"/>
      <c r="G63" s="129"/>
      <c r="H63" s="9"/>
      <c r="I63" s="10"/>
      <c r="J63" s="129"/>
      <c r="K63" s="16"/>
      <c r="L63" s="18"/>
    </row>
    <row r="64" spans="1:12" ht="20.100000000000001" customHeight="1" x14ac:dyDescent="0.25">
      <c r="A64" s="126" t="s">
        <v>79</v>
      </c>
      <c r="B64" s="127" t="s">
        <v>78</v>
      </c>
      <c r="C64" s="127">
        <f>17-1-1+1</f>
        <v>16</v>
      </c>
      <c r="D64" s="128"/>
      <c r="E64" s="128"/>
      <c r="F64" s="128"/>
      <c r="G64" s="129"/>
      <c r="H64" s="9"/>
      <c r="I64" s="10"/>
      <c r="J64" s="129"/>
      <c r="K64" s="16"/>
      <c r="L64" s="18"/>
    </row>
    <row r="65" spans="1:15" ht="20.100000000000001" customHeight="1" x14ac:dyDescent="0.25">
      <c r="A65" s="126" t="s">
        <v>80</v>
      </c>
      <c r="B65" s="127" t="s">
        <v>78</v>
      </c>
      <c r="C65" s="127">
        <v>1</v>
      </c>
      <c r="D65" s="128"/>
      <c r="E65" s="128"/>
      <c r="F65" s="128"/>
      <c r="G65" s="129"/>
      <c r="H65" s="9"/>
      <c r="I65" s="10"/>
      <c r="J65" s="129"/>
      <c r="K65" s="16"/>
      <c r="L65" s="18"/>
    </row>
    <row r="66" spans="1:15" ht="20.100000000000001" customHeight="1" x14ac:dyDescent="0.25">
      <c r="A66" s="126" t="s">
        <v>81</v>
      </c>
      <c r="B66" s="127"/>
      <c r="C66" s="127">
        <f>3-1-1</f>
        <v>1</v>
      </c>
      <c r="D66" s="128"/>
      <c r="E66" s="128"/>
      <c r="F66" s="128"/>
      <c r="G66" s="128"/>
      <c r="H66" s="9"/>
      <c r="I66" s="10"/>
      <c r="J66" s="129"/>
      <c r="K66" s="16"/>
      <c r="L66" s="18"/>
    </row>
    <row r="67" spans="1:15" ht="20.100000000000001" customHeight="1" x14ac:dyDescent="0.25">
      <c r="A67" s="126" t="s">
        <v>82</v>
      </c>
      <c r="B67" s="127" t="s">
        <v>78</v>
      </c>
      <c r="C67" s="127">
        <f>3-1</f>
        <v>2</v>
      </c>
      <c r="D67" s="128"/>
      <c r="E67" s="128"/>
      <c r="F67" s="128"/>
      <c r="G67" s="129"/>
      <c r="H67" s="9"/>
      <c r="I67" s="10"/>
      <c r="J67" s="129"/>
      <c r="K67" s="16"/>
      <c r="L67" s="18"/>
    </row>
    <row r="68" spans="1:15" ht="20.100000000000001" customHeight="1" thickBot="1" x14ac:dyDescent="0.3">
      <c r="A68" s="130" t="s">
        <v>83</v>
      </c>
      <c r="B68" s="131" t="s">
        <v>84</v>
      </c>
      <c r="C68" s="131">
        <v>2</v>
      </c>
      <c r="D68" s="132"/>
      <c r="E68" s="132"/>
      <c r="F68" s="132"/>
      <c r="G68" s="133"/>
      <c r="H68" s="108"/>
      <c r="I68" s="134"/>
      <c r="J68" s="133"/>
      <c r="K68" s="16"/>
      <c r="L68" s="18"/>
    </row>
    <row r="69" spans="1:15" ht="20.100000000000001" customHeight="1" x14ac:dyDescent="0.25">
      <c r="A69" s="135" t="s">
        <v>85</v>
      </c>
      <c r="B69" s="136" t="s">
        <v>73</v>
      </c>
      <c r="C69" s="136"/>
      <c r="D69" s="137"/>
      <c r="E69" s="137"/>
      <c r="F69" s="137"/>
      <c r="G69" s="138"/>
      <c r="H69" s="30"/>
      <c r="I69" s="113"/>
      <c r="J69" s="138"/>
      <c r="K69" s="16"/>
      <c r="L69" s="18"/>
    </row>
    <row r="70" spans="1:15" ht="20.100000000000001" customHeight="1" x14ac:dyDescent="0.25">
      <c r="A70" s="139" t="s">
        <v>86</v>
      </c>
      <c r="B70" s="140" t="s">
        <v>76</v>
      </c>
      <c r="C70" s="141"/>
      <c r="D70" s="142"/>
      <c r="E70" s="142"/>
      <c r="F70" s="142"/>
      <c r="G70" s="143"/>
      <c r="H70" s="9"/>
      <c r="I70" s="10"/>
      <c r="J70" s="143"/>
    </row>
    <row r="71" spans="1:15" ht="20.100000000000001" customHeight="1" x14ac:dyDescent="0.25">
      <c r="A71" s="139" t="s">
        <v>87</v>
      </c>
      <c r="B71" s="141" t="s">
        <v>60</v>
      </c>
      <c r="C71" s="141"/>
      <c r="D71" s="142"/>
      <c r="E71" s="142"/>
      <c r="F71" s="142"/>
      <c r="G71" s="143"/>
      <c r="H71" s="9"/>
      <c r="I71" s="10"/>
      <c r="J71" s="143"/>
    </row>
    <row r="72" spans="1:15" ht="20.100000000000001" customHeight="1" x14ac:dyDescent="0.25">
      <c r="A72" s="139" t="s">
        <v>88</v>
      </c>
      <c r="B72" s="141" t="s">
        <v>60</v>
      </c>
      <c r="C72" s="141"/>
      <c r="D72" s="142"/>
      <c r="E72" s="142"/>
      <c r="F72" s="142"/>
      <c r="G72" s="143"/>
      <c r="H72" s="9"/>
      <c r="I72" s="10"/>
      <c r="J72" s="143"/>
    </row>
    <row r="73" spans="1:15" ht="20.100000000000001" customHeight="1" x14ac:dyDescent="0.25">
      <c r="E73" s="15"/>
      <c r="H73" s="15"/>
      <c r="I73" s="145"/>
      <c r="J73" s="15"/>
      <c r="N73" s="146" t="s">
        <v>89</v>
      </c>
      <c r="O73" s="146" t="s">
        <v>90</v>
      </c>
    </row>
    <row r="74" spans="1:15" ht="20.100000000000001" customHeight="1" x14ac:dyDescent="0.25">
      <c r="E74" s="15"/>
      <c r="H74" s="15"/>
      <c r="I74" s="145"/>
      <c r="J74" s="15"/>
      <c r="N74" s="147" t="s">
        <v>91</v>
      </c>
      <c r="O74" s="148">
        <v>47000</v>
      </c>
    </row>
    <row r="75" spans="1:15" ht="20.100000000000001" customHeight="1" x14ac:dyDescent="0.25">
      <c r="E75" s="15"/>
      <c r="H75" s="15"/>
      <c r="I75" s="145"/>
      <c r="J75" s="15"/>
      <c r="N75" s="149" t="s">
        <v>92</v>
      </c>
      <c r="O75" s="150">
        <v>60000</v>
      </c>
    </row>
    <row r="76" spans="1:15" ht="20.100000000000001" customHeight="1" x14ac:dyDescent="0.25">
      <c r="E76" s="15"/>
      <c r="H76" s="15"/>
      <c r="I76" s="145"/>
      <c r="J76" s="15"/>
      <c r="N76" s="149" t="s">
        <v>93</v>
      </c>
      <c r="O76" s="150">
        <v>77000</v>
      </c>
    </row>
    <row r="77" spans="1:15" ht="20.100000000000001" customHeight="1" x14ac:dyDescent="0.25">
      <c r="E77" s="15"/>
      <c r="H77" s="15"/>
      <c r="I77" s="145"/>
      <c r="J77" s="15"/>
      <c r="N77" s="149"/>
      <c r="O77" s="150"/>
    </row>
    <row r="78" spans="1:15" ht="20.100000000000001" customHeight="1" x14ac:dyDescent="0.25">
      <c r="E78" s="15"/>
      <c r="H78" s="15"/>
      <c r="I78" s="145"/>
      <c r="J78" s="15"/>
      <c r="N78" s="149"/>
      <c r="O78" s="150"/>
    </row>
    <row r="79" spans="1:15" ht="20.100000000000001" customHeight="1" x14ac:dyDescent="0.25">
      <c r="E79" s="15"/>
      <c r="H79" s="15"/>
      <c r="I79" s="145"/>
      <c r="J79" s="15"/>
      <c r="N79" s="149"/>
      <c r="O79" s="150"/>
    </row>
    <row r="80" spans="1:15" ht="20.100000000000001" customHeight="1" x14ac:dyDescent="0.25">
      <c r="E80" s="15"/>
      <c r="H80" s="15"/>
      <c r="I80" s="145"/>
      <c r="J80" s="15"/>
      <c r="N80" s="149"/>
      <c r="O80" s="150"/>
    </row>
    <row r="81" spans="5:15" ht="20.100000000000001" customHeight="1" x14ac:dyDescent="0.25">
      <c r="E81" s="15"/>
      <c r="H81" s="15"/>
      <c r="I81" s="145"/>
      <c r="J81" s="15"/>
      <c r="N81" s="149" t="s">
        <v>94</v>
      </c>
      <c r="O81" s="150">
        <v>82000</v>
      </c>
    </row>
    <row r="82" spans="5:15" ht="20.100000000000001" customHeight="1" x14ac:dyDescent="0.25">
      <c r="E82" s="15"/>
      <c r="H82" s="15"/>
      <c r="I82" s="145"/>
      <c r="J82" s="15"/>
      <c r="N82" s="149" t="s">
        <v>95</v>
      </c>
      <c r="O82" s="150">
        <v>73000</v>
      </c>
    </row>
    <row r="83" spans="5:15" ht="20.100000000000001" customHeight="1" x14ac:dyDescent="0.25">
      <c r="E83" s="15"/>
      <c r="H83" s="15"/>
      <c r="I83" s="145"/>
      <c r="J83" s="15"/>
      <c r="N83" s="149" t="s">
        <v>96</v>
      </c>
      <c r="O83" s="150">
        <v>77000</v>
      </c>
    </row>
    <row r="84" spans="5:15" ht="20.100000000000001" customHeight="1" x14ac:dyDescent="0.25">
      <c r="E84" s="15"/>
      <c r="H84" s="15"/>
      <c r="I84" s="145"/>
      <c r="J84" s="15"/>
      <c r="N84" s="149" t="s">
        <v>97</v>
      </c>
      <c r="O84" s="150">
        <v>70000</v>
      </c>
    </row>
    <row r="85" spans="5:15" ht="20.100000000000001" customHeight="1" x14ac:dyDescent="0.25">
      <c r="E85" s="15"/>
      <c r="H85" s="15"/>
      <c r="I85" s="145"/>
      <c r="J85" s="15"/>
      <c r="N85" s="151" t="s">
        <v>98</v>
      </c>
      <c r="O85" s="152">
        <v>85000</v>
      </c>
    </row>
    <row r="86" spans="5:15" ht="20.100000000000001" customHeight="1" x14ac:dyDescent="0.25">
      <c r="E86" s="15"/>
      <c r="H86" s="15"/>
      <c r="I86" s="145"/>
      <c r="J86" s="15"/>
    </row>
    <row r="87" spans="5:15" ht="20.100000000000001" customHeight="1" x14ac:dyDescent="0.25">
      <c r="E87" s="15"/>
      <c r="H87" s="15"/>
      <c r="I87" s="145"/>
      <c r="J87" s="15"/>
    </row>
    <row r="88" spans="5:15" ht="20.100000000000001" customHeight="1" x14ac:dyDescent="0.25">
      <c r="E88" s="15"/>
      <c r="H88" s="15"/>
      <c r="I88" s="145"/>
      <c r="J88" s="15"/>
    </row>
    <row r="89" spans="5:15" ht="20.100000000000001" customHeight="1" x14ac:dyDescent="0.25">
      <c r="E89" s="15"/>
      <c r="H89" s="15"/>
      <c r="I89" s="145"/>
      <c r="J89" s="15"/>
    </row>
    <row r="90" spans="5:15" ht="20.100000000000001" customHeight="1" x14ac:dyDescent="0.25">
      <c r="E90" s="15"/>
      <c r="H90" s="15"/>
      <c r="I90" s="145"/>
      <c r="J90" s="15"/>
    </row>
    <row r="91" spans="5:15" ht="20.100000000000001" customHeight="1" x14ac:dyDescent="0.25">
      <c r="E91" s="15"/>
      <c r="H91" s="15"/>
      <c r="I91" s="145"/>
      <c r="J91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 incia pag</vt:lpstr>
      <vt:lpstr>'inv incia pag'!Área_de_impresión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 Olmos Moreno</dc:creator>
  <cp:lastModifiedBy>Lisette Olmos Moreno</cp:lastModifiedBy>
  <dcterms:created xsi:type="dcterms:W3CDTF">2026-04-22T16:50:36Z</dcterms:created>
  <dcterms:modified xsi:type="dcterms:W3CDTF">2026-04-22T16:51:01Z</dcterms:modified>
</cp:coreProperties>
</file>